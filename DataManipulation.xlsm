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\Mag\FreeTips\Tip1005\"/>
    </mc:Choice>
  </mc:AlternateContent>
  <xr:revisionPtr revIDLastSave="0" documentId="13_ncr:1_{333EC5DF-2EBF-4705-89BE-0CDA2E879B5C}" xr6:coauthVersionLast="47" xr6:coauthVersionMax="47" xr10:uidLastSave="{00000000-0000-0000-0000-000000000000}"/>
  <bookViews>
    <workbookView xWindow="-98" yWindow="-98" windowWidth="28996" windowHeight="15796" activeTab="6" xr2:uid="{00000000-000D-0000-FFFF-FFFF00000000}"/>
  </bookViews>
  <sheets>
    <sheet name="Guide" sheetId="7" r:id="rId1"/>
    <sheet name="dSlidesTable" sheetId="9" state="hidden" r:id="rId2"/>
    <sheet name="Params" sheetId="8" r:id="rId3"/>
    <sheet name="mUpperLowerProper" sheetId="1" r:id="rId4"/>
    <sheet name="mTrimLen" sheetId="2" r:id="rId5"/>
    <sheet name="mNamesSubstitute" sheetId="10" r:id="rId6"/>
    <sheet name="mLeftRightMidConcat" sheetId="4" r:id="rId7"/>
    <sheet name="mNames" sheetId="5" r:id="rId8"/>
    <sheet name="mNamesFunctions" sheetId="6" r:id="rId9"/>
    <sheet name="mExSplitText" sheetId="11" r:id="rId10"/>
    <sheet name="sLeavePivot" sheetId="12" r:id="rId11"/>
    <sheet name="dTranspose" sheetId="13" r:id="rId12"/>
    <sheet name="mSort" sheetId="14" r:id="rId13"/>
    <sheet name="mCustomSort" sheetId="15" r:id="rId14"/>
    <sheet name="mData" sheetId="16" r:id="rId15"/>
    <sheet name="mNameFormulas" sheetId="17" r:id="rId16"/>
    <sheet name="mFormatLongCodes" sheetId="18" r:id="rId17"/>
    <sheet name="dExSortFour" sheetId="20" r:id="rId18"/>
    <sheet name="dExSortMonth" sheetId="19" r:id="rId19"/>
    <sheet name="dExTextToNumber" sheetId="21" r:id="rId20"/>
    <sheet name="mLeaveData" sheetId="22" r:id="rId21"/>
    <sheet name="mDeleteCells" sheetId="23" r:id="rId22"/>
    <sheet name="mExFilter" sheetId="24" r:id="rId23"/>
  </sheets>
  <definedNames>
    <definedName name="_xlnm._FilterDatabase" localSheetId="13" hidden="1">mCustomSort!$K$14:$O$14</definedName>
    <definedName name="_xlnm._FilterDatabase" localSheetId="14" hidden="1">mData!$K$14:$Q$15</definedName>
    <definedName name="_xlnm._FilterDatabase" localSheetId="21" hidden="1">mDeleteCells!$N$16:$O$34</definedName>
    <definedName name="_xlnm._FilterDatabase" localSheetId="22" hidden="1">mExFilter!$K$14:$P$771</definedName>
    <definedName name="_xlnm._FilterDatabase" localSheetId="9" hidden="1">mExSplitText!$K$14:$P$15</definedName>
    <definedName name="_xlnm._FilterDatabase" localSheetId="20" hidden="1">mLeaveData!$A$4:$J$1075</definedName>
    <definedName name="_xlnm._FilterDatabase" localSheetId="6" hidden="1">mLeftRightMidConcat!$K$14:$R$40</definedName>
    <definedName name="_xlnm._FilterDatabase" localSheetId="15" hidden="1">mNameFormulas!$K$14:$N$14</definedName>
    <definedName name="_xlnm._FilterDatabase" localSheetId="7" hidden="1">mNames!$K$14:$O$15</definedName>
    <definedName name="_xlnm._FilterDatabase" localSheetId="8" hidden="1">mNamesFunctions!$K$14:$T$15</definedName>
    <definedName name="_xlnm._FilterDatabase" localSheetId="12" hidden="1">mSort!$K$14:$S$30</definedName>
    <definedName name="_xlnm._FilterDatabase" localSheetId="4" hidden="1">mTrimLen!$K$14:$P$15</definedName>
    <definedName name="_xlnm._FilterDatabase" localSheetId="3" hidden="1">mUpperLowerProper!$K$14:$P$15</definedName>
    <definedName name="_xleta.REPLACE" hidden="1" xlm="1">#NAME?</definedName>
    <definedName name="afbGuide">Guide!$A$1:$B$4</definedName>
    <definedName name="afbParams">Params!$A$1:$A$4</definedName>
    <definedName name="afbSheet" localSheetId="17">dExSortFour!$K$11:$K$14</definedName>
    <definedName name="afbSheet" localSheetId="18">dExSortMonth!$K$11:$K$14</definedName>
    <definedName name="afbSheet" localSheetId="19">dExTextToNumber!$K$11:$K$14</definedName>
    <definedName name="afbSheet" localSheetId="1">dSlidesTable!$K$11:$K$14</definedName>
    <definedName name="afbSheet" localSheetId="11">dTranspose!$K$11:$K$14</definedName>
    <definedName name="afbSheet" localSheetId="13">mCustomSort!$K$11:$K$14</definedName>
    <definedName name="afbSheet" localSheetId="14">mData!$K$11:$K$14</definedName>
    <definedName name="afbSheet" localSheetId="21">mDeleteCells!$K$11:$K$14</definedName>
    <definedName name="afbSheet" localSheetId="22">mExFilter!$K$11:$K$14</definedName>
    <definedName name="afbSheet" localSheetId="9">mExSplitText!$K$11:$K$14</definedName>
    <definedName name="afbSheet" localSheetId="16">mFormatLongCodes!$K$12:$K$15</definedName>
    <definedName name="afbSheet" localSheetId="20">mLeaveData!$A$1:$A$4</definedName>
    <definedName name="afbSheet" localSheetId="6">mLeftRightMidConcat!$K$11:$K$14</definedName>
    <definedName name="afbSheet" localSheetId="15">mNameFormulas!$K$11:$K$14</definedName>
    <definedName name="afbSheet" localSheetId="7">mNames!$K$11:$K$14</definedName>
    <definedName name="afbSheet" localSheetId="8">mNamesFunctions!$K$11:$K$14</definedName>
    <definedName name="afbSheet" localSheetId="5">mNamesSubstitute!$K$11:$K$14</definedName>
    <definedName name="afbSheet" localSheetId="12">mSort!$K$11:$K$14</definedName>
    <definedName name="afbSheet" localSheetId="4">mTrimLen!$K$11:$K$14</definedName>
    <definedName name="afbSheet" localSheetId="3">mUpperLowerProper!$K$11:$K$14</definedName>
    <definedName name="afbSheet" localSheetId="10">sLeavePivot!$K$11:$K$14</definedName>
    <definedName name="csRawData" localSheetId="13">mCustomSort!$F$15:$I$26</definedName>
    <definedName name="csRawData" localSheetId="14">mData!$E$16:$J$20</definedName>
    <definedName name="csRawData" localSheetId="16">mFormatLongCodes!$I$16:$I$25</definedName>
    <definedName name="csRawData" localSheetId="12">mSort!$B$15:$I$30</definedName>
    <definedName name="csRawData" localSheetId="10">sLeavePivot!$B$15:$I$92</definedName>
    <definedName name="dtiSlides">dSlidesTable!$K$14:$P$77</definedName>
    <definedName name="gAppDescription">Guide!$C$6</definedName>
    <definedName name="gCreator">Guide!$C$10</definedName>
    <definedName name="gProcedures">Guide!#REF!</definedName>
    <definedName name="gPurpose">Guide!$C$7</definedName>
    <definedName name="gStartWorkbook">Guide!$C$22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HideWebToolbar">Params!$B$13</definedName>
    <definedName name="kNow">Params!$B$12</definedName>
    <definedName name="kOrgName">Params!$B$8</definedName>
    <definedName name="kVersion">Params!$B$7</definedName>
    <definedName name="_xlnm.Print_Area" localSheetId="17">dExSortFour!$K$11:$T$31</definedName>
    <definedName name="_xlnm.Print_Area" localSheetId="18">dExSortMonth!$K$11:$M$27</definedName>
    <definedName name="_xlnm.Print_Area" localSheetId="19">dExTextToNumber!$K$11:$M$54</definedName>
    <definedName name="_xlnm.Print_Area" localSheetId="1">dSlidesTable!$K$11:$P$77</definedName>
    <definedName name="_xlnm.Print_Area" localSheetId="11">dTranspose!$K$11:$Y$37</definedName>
    <definedName name="_xlnm.Print_Area" localSheetId="13">mCustomSort!$K$11:$O$27</definedName>
    <definedName name="_xlnm.Print_Area" localSheetId="14">mData!$K$11:$Q$21</definedName>
    <definedName name="_xlnm.Print_Area" localSheetId="21">mDeleteCells!$K$11:$P$35</definedName>
    <definedName name="_xlnm.Print_Area" localSheetId="22">mExFilter!$K$11:$Q$772</definedName>
    <definedName name="_xlnm.Print_Area" localSheetId="9">mExSplitText!$K$11:$P$22</definedName>
    <definedName name="_xlnm.Print_Area" localSheetId="16">mFormatLongCodes!$K$12:$N$26</definedName>
    <definedName name="_xlnm.Print_Area" localSheetId="20">mLeaveData!$A$1:$K$1076</definedName>
    <definedName name="_xlnm.Print_Area" localSheetId="6">mLeftRightMidConcat!$K$11:$R$41</definedName>
    <definedName name="_xlnm.Print_Area" localSheetId="15">mNameFormulas!$K$11:$N$41</definedName>
    <definedName name="_xlnm.Print_Area" localSheetId="7">mNames!$K$11:$O$41</definedName>
    <definedName name="_xlnm.Print_Area" localSheetId="8">mNamesFunctions!$K$11:$T$41</definedName>
    <definedName name="_xlnm.Print_Area" localSheetId="5">mNamesSubstitute!$K$11:$O$41</definedName>
    <definedName name="_xlnm.Print_Area" localSheetId="12">mSort!$K$11:$S$31</definedName>
    <definedName name="_xlnm.Print_Area" localSheetId="4">mTrimLen!$K$11:$P$41</definedName>
    <definedName name="_xlnm.Print_Area" localSheetId="3">mUpperLowerProper!$K$11:$P$41</definedName>
    <definedName name="_xlnm.Print_Area" localSheetId="10">sLeavePivot!$K$11:$S$94</definedName>
    <definedName name="_xlnm.Print_Titles" localSheetId="17">dExSortFour!$K:$K,dExSortFour!$11:$14</definedName>
    <definedName name="_xlnm.Print_Titles" localSheetId="18">dExSortMonth!$K:$K,dExSortMonth!$11:$14</definedName>
    <definedName name="_xlnm.Print_Titles" localSheetId="19">dExTextToNumber!$K:$K,dExTextToNumber!$11:$14</definedName>
    <definedName name="_xlnm.Print_Titles" localSheetId="1">dSlidesTable!$K:$K,dSlidesTable!$11:$14</definedName>
    <definedName name="_xlnm.Print_Titles" localSheetId="11">dTranspose!$K:$K,dTranspose!$11:$14</definedName>
    <definedName name="_xlnm.Print_Titles" localSheetId="0">Guide!$1:$4</definedName>
    <definedName name="_xlnm.Print_Titles" localSheetId="13">mCustomSort!$K:$K,mCustomSort!$11:$14</definedName>
    <definedName name="_xlnm.Print_Titles" localSheetId="14">mData!$K:$K,mData!$11:$14</definedName>
    <definedName name="_xlnm.Print_Titles" localSheetId="21">mDeleteCells!$K:$K,mDeleteCells!$11:$14</definedName>
    <definedName name="_xlnm.Print_Titles" localSheetId="22">mExFilter!$K:$K,mExFilter!$11:$14</definedName>
    <definedName name="_xlnm.Print_Titles" localSheetId="9">mExSplitText!$K:$K,mExSplitText!$11:$14</definedName>
    <definedName name="_xlnm.Print_Titles" localSheetId="16">mFormatLongCodes!$K:$K,mFormatLongCodes!$12:$15</definedName>
    <definedName name="_xlnm.Print_Titles" localSheetId="6">mLeftRightMidConcat!$K:$K,mLeftRightMidConcat!$11:$14</definedName>
    <definedName name="_xlnm.Print_Titles" localSheetId="15">mNameFormulas!$K:$K,mNameFormulas!$11:$14</definedName>
    <definedName name="_xlnm.Print_Titles" localSheetId="7">mNames!$K:$K,mNames!$11:$14</definedName>
    <definedName name="_xlnm.Print_Titles" localSheetId="8">mNamesFunctions!$K:$K,mNamesFunctions!$11:$14</definedName>
    <definedName name="_xlnm.Print_Titles" localSheetId="5">mNamesSubstitute!$K:$K,mNamesSubstitute!$11:$14</definedName>
    <definedName name="_xlnm.Print_Titles" localSheetId="12">mSort!$K:$K,mSort!$11:$14</definedName>
    <definedName name="_xlnm.Print_Titles" localSheetId="4">mTrimLen!$K:$K,mTrimLen!$11:$14</definedName>
    <definedName name="_xlnm.Print_Titles" localSheetId="3">mUpperLowerProper!$K:$K,mUpperLowerProper!$11:$14</definedName>
    <definedName name="_xlnm.Print_Titles" localSheetId="2">Params!$1:$4</definedName>
    <definedName name="_xlnm.Print_Titles" localSheetId="10">sLeavePivot!$K:$K,sLeavePivot!$11:$14</definedName>
    <definedName name="ttSheet" localSheetId="17">dExSortFour!$K$14:$T$14</definedName>
    <definedName name="ttSheet" localSheetId="18">dExSortMonth!$K$14:$M$14</definedName>
    <definedName name="ttSheet" localSheetId="19">dExTextToNumber!$K$14:$M$14</definedName>
    <definedName name="ttSheet" localSheetId="1">dSlidesTable!$K$14:$P$14</definedName>
    <definedName name="ttSheet" localSheetId="11">dTranspose!$K$14:$Y$14</definedName>
    <definedName name="ttSheet" localSheetId="0">Guide!$A$4:$D$4</definedName>
    <definedName name="ttSheet" localSheetId="13">mCustomSort!$K$14:$O$14</definedName>
    <definedName name="ttSheet" localSheetId="14">mData!$K$14:$Q$14</definedName>
    <definedName name="ttSheet" localSheetId="21">mDeleteCells!$K$14:$P$14</definedName>
    <definedName name="ttSheet" localSheetId="22">mExFilter!$K$14:$Q$14</definedName>
    <definedName name="ttSheet" localSheetId="9">mExSplitText!$K$14:$P$14</definedName>
    <definedName name="ttSheet" localSheetId="16">mFormatLongCodes!$K$15:$N$15</definedName>
    <definedName name="ttSheet" localSheetId="6">mLeftRightMidConcat!$K$14:$R$14</definedName>
    <definedName name="ttSheet" localSheetId="15">mNameFormulas!$K$14:$N$14</definedName>
    <definedName name="ttSheet" localSheetId="7">mNames!$K$14:$O$14</definedName>
    <definedName name="ttSheet" localSheetId="8">mNamesFunctions!$K$14:$T$14</definedName>
    <definedName name="ttSheet" localSheetId="5">mNamesSubstitute!$K$14:$O$14</definedName>
    <definedName name="ttSheet" localSheetId="12">mSort!$K$14:$S$14</definedName>
    <definedName name="ttSheet" localSheetId="4">mTrimLen!$K$14:$P$14</definedName>
    <definedName name="ttSheet" localSheetId="3">mUpperLowerProper!$K$14:$P$14</definedName>
    <definedName name="ttSheet" localSheetId="10">sLeavePivot!$K$14:$S$14</definedName>
  </definedNames>
  <calcPr calcId="191029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9" i="6" l="1" a="1"/>
  <c r="Q39" i="6" s="1"/>
  <c r="Q40" i="6" a="1"/>
  <c r="Q40" i="6" s="1"/>
  <c r="Q38" i="6" a="1"/>
  <c r="Q38" i="6" s="1"/>
  <c r="Q37" i="6" a="1"/>
  <c r="Q37" i="6" s="1"/>
  <c r="Q36" i="6" a="1"/>
  <c r="Q36" i="6" s="1"/>
  <c r="Q35" i="6" a="1"/>
  <c r="Q35" i="6" s="1"/>
  <c r="Q34" i="6" a="1"/>
  <c r="Q34" i="6" s="1"/>
  <c r="Q33" i="6" a="1"/>
  <c r="Q33" i="6" s="1"/>
  <c r="Q32" i="6" a="1"/>
  <c r="Q32" i="6" s="1"/>
  <c r="Q31" i="6" a="1"/>
  <c r="Q31" i="6" s="1"/>
  <c r="Q30" i="6" a="1"/>
  <c r="Q30" i="6" s="1"/>
  <c r="Q29" i="6" a="1"/>
  <c r="Q29" i="6" s="1"/>
  <c r="Q28" i="6" a="1"/>
  <c r="Q28" i="6" s="1"/>
  <c r="Q27" i="6" a="1"/>
  <c r="Q27" i="6" s="1"/>
  <c r="Q26" i="6" a="1"/>
  <c r="Q26" i="6" s="1"/>
  <c r="Q25" i="6" a="1"/>
  <c r="Q25" i="6" s="1"/>
  <c r="Q24" i="6" a="1"/>
  <c r="Q24" i="6" s="1"/>
  <c r="Q23" i="6" a="1"/>
  <c r="Q23" i="6" s="1"/>
  <c r="Q22" i="6" a="1"/>
  <c r="Q22" i="6" s="1"/>
  <c r="Q21" i="6" a="1"/>
  <c r="Q21" i="6" s="1"/>
  <c r="Q20" i="6" a="1"/>
  <c r="Q20" i="6" s="1"/>
  <c r="Q19" i="6" a="1"/>
  <c r="Q19" i="6" s="1"/>
  <c r="Q18" i="6" a="1"/>
  <c r="Q18" i="6" s="1"/>
  <c r="Q17" i="6" a="1"/>
  <c r="Q17" i="6" s="1"/>
  <c r="Q16" i="6" a="1"/>
  <c r="Q16" i="6" s="1"/>
  <c r="O17" i="6"/>
  <c r="P17" i="6"/>
  <c r="O18" i="6"/>
  <c r="P18" i="6"/>
  <c r="O19" i="6"/>
  <c r="P19" i="6"/>
  <c r="O20" i="6"/>
  <c r="P20" i="6"/>
  <c r="O21" i="6"/>
  <c r="P21" i="6"/>
  <c r="O22" i="6"/>
  <c r="P22" i="6"/>
  <c r="O23" i="6"/>
  <c r="P23" i="6"/>
  <c r="O24" i="6"/>
  <c r="P24" i="6"/>
  <c r="O25" i="6"/>
  <c r="P25" i="6"/>
  <c r="O26" i="6"/>
  <c r="P26" i="6"/>
  <c r="O27" i="6"/>
  <c r="P27" i="6"/>
  <c r="O28" i="6"/>
  <c r="P28" i="6"/>
  <c r="O29" i="6"/>
  <c r="P29" i="6"/>
  <c r="O30" i="6"/>
  <c r="P30" i="6"/>
  <c r="O31" i="6"/>
  <c r="P31" i="6"/>
  <c r="O32" i="6"/>
  <c r="P32" i="6"/>
  <c r="O33" i="6"/>
  <c r="P33" i="6"/>
  <c r="O34" i="6"/>
  <c r="P34" i="6"/>
  <c r="O35" i="6"/>
  <c r="P35" i="6"/>
  <c r="O36" i="6"/>
  <c r="P36" i="6"/>
  <c r="O37" i="6"/>
  <c r="P37" i="6"/>
  <c r="O38" i="6"/>
  <c r="P38" i="6"/>
  <c r="O39" i="6"/>
  <c r="P39" i="6"/>
  <c r="O40" i="6"/>
  <c r="P40" i="6"/>
  <c r="O16" i="6"/>
  <c r="P16" i="6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16" i="4"/>
  <c r="O17" i="4"/>
  <c r="O18" i="4"/>
  <c r="O19" i="4"/>
  <c r="O20" i="4"/>
  <c r="P20" i="4"/>
  <c r="O21" i="4"/>
  <c r="O22" i="4"/>
  <c r="O23" i="4"/>
  <c r="O24" i="4"/>
  <c r="P24" i="4" s="1"/>
  <c r="O25" i="4"/>
  <c r="O26" i="4"/>
  <c r="O27" i="4"/>
  <c r="O28" i="4"/>
  <c r="P28" i="4" s="1"/>
  <c r="O29" i="4"/>
  <c r="O30" i="4"/>
  <c r="P30" i="4" s="1"/>
  <c r="O31" i="4"/>
  <c r="O32" i="4"/>
  <c r="P32" i="4" s="1"/>
  <c r="O33" i="4"/>
  <c r="P33" i="4" s="1"/>
  <c r="O34" i="4"/>
  <c r="O35" i="4"/>
  <c r="O36" i="4"/>
  <c r="P36" i="4" s="1"/>
  <c r="O37" i="4"/>
  <c r="O38" i="4"/>
  <c r="O39" i="4"/>
  <c r="P39" i="4" s="1"/>
  <c r="O40" i="4"/>
  <c r="P40" i="4" s="1"/>
  <c r="O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16" i="4"/>
  <c r="N21" i="10"/>
  <c r="M17" i="10"/>
  <c r="N17" i="10" s="1"/>
  <c r="M18" i="10"/>
  <c r="N18" i="10" s="1"/>
  <c r="M19" i="10"/>
  <c r="N19" i="10" s="1"/>
  <c r="M20" i="10"/>
  <c r="N20" i="10" s="1"/>
  <c r="M21" i="10"/>
  <c r="M22" i="10"/>
  <c r="N22" i="10" s="1"/>
  <c r="M23" i="10"/>
  <c r="N23" i="10" s="1"/>
  <c r="M24" i="10"/>
  <c r="N24" i="10" s="1"/>
  <c r="M25" i="10"/>
  <c r="N25" i="10" s="1"/>
  <c r="M26" i="10"/>
  <c r="N26" i="10" s="1"/>
  <c r="M27" i="10"/>
  <c r="N27" i="10" s="1"/>
  <c r="M28" i="10"/>
  <c r="N28" i="10" s="1"/>
  <c r="M29" i="10"/>
  <c r="N29" i="10" s="1"/>
  <c r="M30" i="10"/>
  <c r="N30" i="10" s="1"/>
  <c r="M31" i="10"/>
  <c r="N31" i="10" s="1"/>
  <c r="M32" i="10"/>
  <c r="N32" i="10" s="1"/>
  <c r="M33" i="10"/>
  <c r="N33" i="10" s="1"/>
  <c r="M34" i="10"/>
  <c r="N34" i="10" s="1"/>
  <c r="M35" i="10"/>
  <c r="N35" i="10" s="1"/>
  <c r="M36" i="10"/>
  <c r="N36" i="10" s="1"/>
  <c r="M37" i="10"/>
  <c r="N37" i="10" s="1"/>
  <c r="M38" i="10"/>
  <c r="N38" i="10" s="1"/>
  <c r="M39" i="10"/>
  <c r="N39" i="10" s="1"/>
  <c r="M40" i="10"/>
  <c r="N40" i="10" s="1"/>
  <c r="M16" i="10"/>
  <c r="N16" i="10" s="1"/>
  <c r="O17" i="1"/>
  <c r="K17" i="2" s="1"/>
  <c r="N17" i="2" s="1"/>
  <c r="O18" i="1"/>
  <c r="K18" i="2" s="1"/>
  <c r="O19" i="1"/>
  <c r="O20" i="1"/>
  <c r="O21" i="1"/>
  <c r="O22" i="1"/>
  <c r="O23" i="1"/>
  <c r="K23" i="2" s="1"/>
  <c r="O24" i="1"/>
  <c r="K24" i="2" s="1"/>
  <c r="N24" i="2" s="1"/>
  <c r="O25" i="1"/>
  <c r="K25" i="2" s="1"/>
  <c r="O26" i="1"/>
  <c r="O27" i="1"/>
  <c r="K27" i="2" s="1"/>
  <c r="O28" i="1"/>
  <c r="K28" i="2" s="1"/>
  <c r="O29" i="1"/>
  <c r="K29" i="2"/>
  <c r="N29" i="2" s="1"/>
  <c r="O30" i="1"/>
  <c r="O31" i="1"/>
  <c r="K31" i="2" s="1"/>
  <c r="O32" i="1"/>
  <c r="O33" i="1"/>
  <c r="K33" i="2"/>
  <c r="N33" i="2" s="1"/>
  <c r="O34" i="1"/>
  <c r="O35" i="1"/>
  <c r="O36" i="1"/>
  <c r="O37" i="1"/>
  <c r="K37" i="2" s="1"/>
  <c r="O38" i="1"/>
  <c r="O39" i="1"/>
  <c r="K39" i="2"/>
  <c r="M39" i="2" s="1"/>
  <c r="O39" i="2" s="1"/>
  <c r="O40" i="1"/>
  <c r="K40" i="2" s="1"/>
  <c r="O16" i="1"/>
  <c r="K16" i="2" s="1"/>
  <c r="N16" i="2" s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16" i="1"/>
  <c r="K15" i="9"/>
  <c r="K17" i="9" s="1"/>
  <c r="L16" i="9"/>
  <c r="N11" i="9"/>
  <c r="M11" i="24"/>
  <c r="O17" i="23"/>
  <c r="M11" i="23"/>
  <c r="J1075" i="22"/>
  <c r="J1074" i="22"/>
  <c r="J1073" i="22"/>
  <c r="J1072" i="22"/>
  <c r="J1071" i="22"/>
  <c r="J1070" i="22"/>
  <c r="J1069" i="22"/>
  <c r="J1068" i="22"/>
  <c r="J1067" i="22"/>
  <c r="J1066" i="22"/>
  <c r="J1065" i="22"/>
  <c r="J1064" i="22"/>
  <c r="J1063" i="22"/>
  <c r="J1062" i="22"/>
  <c r="J1061" i="22"/>
  <c r="J1060" i="22"/>
  <c r="J1059" i="22"/>
  <c r="J1058" i="22"/>
  <c r="J1057" i="22"/>
  <c r="J1056" i="22"/>
  <c r="J1055" i="22"/>
  <c r="J1054" i="22"/>
  <c r="J1053" i="22"/>
  <c r="J1052" i="22"/>
  <c r="J1051" i="22"/>
  <c r="J1050" i="22"/>
  <c r="J1049" i="22"/>
  <c r="J1048" i="22"/>
  <c r="J1047" i="22"/>
  <c r="J1046" i="22"/>
  <c r="J1045" i="22"/>
  <c r="J1044" i="22"/>
  <c r="J1043" i="22"/>
  <c r="J1042" i="22"/>
  <c r="J1041" i="22"/>
  <c r="J1040" i="22"/>
  <c r="J1039" i="22"/>
  <c r="J1038" i="22"/>
  <c r="J1037" i="22"/>
  <c r="J1036" i="22"/>
  <c r="J1035" i="22"/>
  <c r="J1034" i="22"/>
  <c r="J1033" i="22"/>
  <c r="J1032" i="22"/>
  <c r="J1031" i="22"/>
  <c r="J1030" i="22"/>
  <c r="J1029" i="22"/>
  <c r="J1028" i="22"/>
  <c r="J1027" i="22"/>
  <c r="J1026" i="22"/>
  <c r="J1025" i="22"/>
  <c r="J1024" i="22"/>
  <c r="J1023" i="22"/>
  <c r="J1022" i="22"/>
  <c r="J1021" i="22"/>
  <c r="J1020" i="22"/>
  <c r="J1019" i="22"/>
  <c r="J1018" i="22"/>
  <c r="J1017" i="22"/>
  <c r="J1016" i="22"/>
  <c r="J1015" i="22"/>
  <c r="J1014" i="22"/>
  <c r="J1013" i="22"/>
  <c r="J1012" i="22"/>
  <c r="J1011" i="22"/>
  <c r="J1010" i="22"/>
  <c r="J1009" i="22"/>
  <c r="J1008" i="22"/>
  <c r="J1007" i="22"/>
  <c r="J1006" i="22"/>
  <c r="J1005" i="22"/>
  <c r="J1004" i="22"/>
  <c r="J1003" i="22"/>
  <c r="J1002" i="22"/>
  <c r="J1001" i="22"/>
  <c r="J1000" i="22"/>
  <c r="J999" i="22"/>
  <c r="J998" i="22"/>
  <c r="J997" i="22"/>
  <c r="J996" i="22"/>
  <c r="J995" i="22"/>
  <c r="J994" i="22"/>
  <c r="J993" i="22"/>
  <c r="J992" i="22"/>
  <c r="J991" i="22"/>
  <c r="J990" i="22"/>
  <c r="J989" i="22"/>
  <c r="J988" i="22"/>
  <c r="J987" i="22"/>
  <c r="J986" i="22"/>
  <c r="J985" i="22"/>
  <c r="J984" i="22"/>
  <c r="J983" i="22"/>
  <c r="J982" i="22"/>
  <c r="J981" i="22"/>
  <c r="J980" i="22"/>
  <c r="J979" i="22"/>
  <c r="J978" i="22"/>
  <c r="J977" i="22"/>
  <c r="J976" i="22"/>
  <c r="J975" i="22"/>
  <c r="J974" i="22"/>
  <c r="J973" i="22"/>
  <c r="J972" i="22"/>
  <c r="J971" i="22"/>
  <c r="J970" i="22"/>
  <c r="J969" i="22"/>
  <c r="J968" i="22"/>
  <c r="J967" i="22"/>
  <c r="J966" i="22"/>
  <c r="J965" i="22"/>
  <c r="J964" i="22"/>
  <c r="J963" i="22"/>
  <c r="J962" i="22"/>
  <c r="J961" i="22"/>
  <c r="J960" i="22"/>
  <c r="J959" i="22"/>
  <c r="J958" i="22"/>
  <c r="J957" i="22"/>
  <c r="J956" i="22"/>
  <c r="J955" i="22"/>
  <c r="J954" i="22"/>
  <c r="J953" i="22"/>
  <c r="J952" i="22"/>
  <c r="J951" i="22"/>
  <c r="J950" i="22"/>
  <c r="J949" i="22"/>
  <c r="J948" i="22"/>
  <c r="J947" i="22"/>
  <c r="J946" i="22"/>
  <c r="J945" i="22"/>
  <c r="J944" i="22"/>
  <c r="J943" i="22"/>
  <c r="J942" i="22"/>
  <c r="J941" i="22"/>
  <c r="J940" i="22"/>
  <c r="J939" i="22"/>
  <c r="J938" i="22"/>
  <c r="J937" i="22"/>
  <c r="J936" i="22"/>
  <c r="J935" i="22"/>
  <c r="J934" i="22"/>
  <c r="J933" i="22"/>
  <c r="J932" i="22"/>
  <c r="J931" i="22"/>
  <c r="J930" i="22"/>
  <c r="J929" i="22"/>
  <c r="J928" i="22"/>
  <c r="J927" i="22"/>
  <c r="J926" i="22"/>
  <c r="J925" i="22"/>
  <c r="J924" i="22"/>
  <c r="J923" i="22"/>
  <c r="J922" i="22"/>
  <c r="J921" i="22"/>
  <c r="J920" i="22"/>
  <c r="J919" i="22"/>
  <c r="J918" i="22"/>
  <c r="J917" i="22"/>
  <c r="J916" i="22"/>
  <c r="J915" i="22"/>
  <c r="J914" i="22"/>
  <c r="J913" i="22"/>
  <c r="J912" i="22"/>
  <c r="J911" i="22"/>
  <c r="J910" i="22"/>
  <c r="J909" i="22"/>
  <c r="J908" i="22"/>
  <c r="J907" i="22"/>
  <c r="J906" i="22"/>
  <c r="J905" i="22"/>
  <c r="J904" i="22"/>
  <c r="J903" i="22"/>
  <c r="J902" i="22"/>
  <c r="J901" i="22"/>
  <c r="J900" i="22"/>
  <c r="J899" i="22"/>
  <c r="J898" i="22"/>
  <c r="J897" i="22"/>
  <c r="J896" i="22"/>
  <c r="J895" i="22"/>
  <c r="J894" i="22"/>
  <c r="J893" i="22"/>
  <c r="J892" i="22"/>
  <c r="J891" i="22"/>
  <c r="J890" i="22"/>
  <c r="J889" i="22"/>
  <c r="J888" i="22"/>
  <c r="J887" i="22"/>
  <c r="J886" i="22"/>
  <c r="J885" i="22"/>
  <c r="J884" i="22"/>
  <c r="J883" i="22"/>
  <c r="J882" i="22"/>
  <c r="J881" i="22"/>
  <c r="J880" i="22"/>
  <c r="J879" i="22"/>
  <c r="J878" i="22"/>
  <c r="J877" i="22"/>
  <c r="J876" i="22"/>
  <c r="J875" i="22"/>
  <c r="J874" i="22"/>
  <c r="J873" i="22"/>
  <c r="J872" i="22"/>
  <c r="J871" i="22"/>
  <c r="J870" i="22"/>
  <c r="J869" i="22"/>
  <c r="J868" i="22"/>
  <c r="J867" i="22"/>
  <c r="J866" i="22"/>
  <c r="J865" i="22"/>
  <c r="J864" i="22"/>
  <c r="J863" i="22"/>
  <c r="J862" i="22"/>
  <c r="J861" i="22"/>
  <c r="J860" i="22"/>
  <c r="J859" i="22"/>
  <c r="J858" i="22"/>
  <c r="J857" i="22"/>
  <c r="J856" i="22"/>
  <c r="J855" i="22"/>
  <c r="J854" i="22"/>
  <c r="J853" i="22"/>
  <c r="J852" i="22"/>
  <c r="J851" i="22"/>
  <c r="J850" i="22"/>
  <c r="J849" i="22"/>
  <c r="J848" i="22"/>
  <c r="J847" i="22"/>
  <c r="J846" i="22"/>
  <c r="J845" i="22"/>
  <c r="J844" i="22"/>
  <c r="J843" i="22"/>
  <c r="J842" i="22"/>
  <c r="J841" i="22"/>
  <c r="J840" i="22"/>
  <c r="J839" i="22"/>
  <c r="J838" i="22"/>
  <c r="J837" i="22"/>
  <c r="J836" i="22"/>
  <c r="J835" i="22"/>
  <c r="J834" i="22"/>
  <c r="J833" i="22"/>
  <c r="J832" i="22"/>
  <c r="J831" i="22"/>
  <c r="J830" i="22"/>
  <c r="J829" i="22"/>
  <c r="J828" i="22"/>
  <c r="J827" i="22"/>
  <c r="J826" i="22"/>
  <c r="J825" i="22"/>
  <c r="J824" i="22"/>
  <c r="J823" i="22"/>
  <c r="J822" i="22"/>
  <c r="J821" i="22"/>
  <c r="J820" i="22"/>
  <c r="J819" i="22"/>
  <c r="J818" i="22"/>
  <c r="J817" i="22"/>
  <c r="J816" i="22"/>
  <c r="J815" i="22"/>
  <c r="J814" i="22"/>
  <c r="J813" i="22"/>
  <c r="J812" i="22"/>
  <c r="J811" i="22"/>
  <c r="J810" i="22"/>
  <c r="J809" i="22"/>
  <c r="J808" i="22"/>
  <c r="J807" i="22"/>
  <c r="J806" i="22"/>
  <c r="J805" i="22"/>
  <c r="J804" i="22"/>
  <c r="J803" i="22"/>
  <c r="J802" i="22"/>
  <c r="J801" i="22"/>
  <c r="J800" i="22"/>
  <c r="J799" i="22"/>
  <c r="J798" i="22"/>
  <c r="J797" i="22"/>
  <c r="J796" i="22"/>
  <c r="J795" i="22"/>
  <c r="J794" i="22"/>
  <c r="J793" i="22"/>
  <c r="J792" i="22"/>
  <c r="J791" i="22"/>
  <c r="J790" i="22"/>
  <c r="J789" i="22"/>
  <c r="J788" i="22"/>
  <c r="J787" i="22"/>
  <c r="J786" i="22"/>
  <c r="J785" i="22"/>
  <c r="J784" i="22"/>
  <c r="J783" i="22"/>
  <c r="J782" i="22"/>
  <c r="J781" i="22"/>
  <c r="J780" i="22"/>
  <c r="J779" i="22"/>
  <c r="J778" i="22"/>
  <c r="J777" i="22"/>
  <c r="J776" i="22"/>
  <c r="J775" i="22"/>
  <c r="J774" i="22"/>
  <c r="J773" i="22"/>
  <c r="J772" i="22"/>
  <c r="J771" i="22"/>
  <c r="J770" i="22"/>
  <c r="J769" i="22"/>
  <c r="J768" i="22"/>
  <c r="J767" i="22"/>
  <c r="J766" i="22"/>
  <c r="J765" i="22"/>
  <c r="J764" i="22"/>
  <c r="J763" i="22"/>
  <c r="J762" i="22"/>
  <c r="J761" i="22"/>
  <c r="J760" i="22"/>
  <c r="J759" i="22"/>
  <c r="J758" i="22"/>
  <c r="J757" i="22"/>
  <c r="J756" i="22"/>
  <c r="J755" i="22"/>
  <c r="J754" i="22"/>
  <c r="J753" i="22"/>
  <c r="J752" i="22"/>
  <c r="J751" i="22"/>
  <c r="J750" i="22"/>
  <c r="J749" i="22"/>
  <c r="J748" i="22"/>
  <c r="J747" i="22"/>
  <c r="J746" i="22"/>
  <c r="J745" i="22"/>
  <c r="J744" i="22"/>
  <c r="J743" i="22"/>
  <c r="J742" i="22"/>
  <c r="J741" i="22"/>
  <c r="J740" i="22"/>
  <c r="J739" i="22"/>
  <c r="J738" i="22"/>
  <c r="J737" i="22"/>
  <c r="J736" i="22"/>
  <c r="J735" i="22"/>
  <c r="J734" i="22"/>
  <c r="J733" i="22"/>
  <c r="J732" i="22"/>
  <c r="J731" i="22"/>
  <c r="J730" i="22"/>
  <c r="J729" i="22"/>
  <c r="J728" i="22"/>
  <c r="J727" i="22"/>
  <c r="J726" i="22"/>
  <c r="J725" i="22"/>
  <c r="J724" i="22"/>
  <c r="J723" i="22"/>
  <c r="J722" i="22"/>
  <c r="J721" i="22"/>
  <c r="J720" i="22"/>
  <c r="J719" i="22"/>
  <c r="J718" i="22"/>
  <c r="J717" i="22"/>
  <c r="J716" i="22"/>
  <c r="J715" i="22"/>
  <c r="J714" i="22"/>
  <c r="J713" i="22"/>
  <c r="J712" i="22"/>
  <c r="J711" i="22"/>
  <c r="J710" i="22"/>
  <c r="J709" i="22"/>
  <c r="J708" i="22"/>
  <c r="J707" i="22"/>
  <c r="J706" i="22"/>
  <c r="J705" i="22"/>
  <c r="J704" i="22"/>
  <c r="J703" i="22"/>
  <c r="J702" i="22"/>
  <c r="J701" i="22"/>
  <c r="J700" i="22"/>
  <c r="J699" i="22"/>
  <c r="J698" i="22"/>
  <c r="J697" i="22"/>
  <c r="J696" i="22"/>
  <c r="J695" i="22"/>
  <c r="J694" i="22"/>
  <c r="J693" i="22"/>
  <c r="J692" i="22"/>
  <c r="J691" i="22"/>
  <c r="J690" i="22"/>
  <c r="J689" i="22"/>
  <c r="J688" i="22"/>
  <c r="J687" i="22"/>
  <c r="J686" i="22"/>
  <c r="J685" i="22"/>
  <c r="J684" i="22"/>
  <c r="J683" i="22"/>
  <c r="J682" i="22"/>
  <c r="J681" i="22"/>
  <c r="J680" i="22"/>
  <c r="J679" i="22"/>
  <c r="J678" i="22"/>
  <c r="J677" i="22"/>
  <c r="J676" i="22"/>
  <c r="J675" i="22"/>
  <c r="J674" i="22"/>
  <c r="J673" i="22"/>
  <c r="J672" i="22"/>
  <c r="J671" i="22"/>
  <c r="J670" i="22"/>
  <c r="J669" i="22"/>
  <c r="J668" i="22"/>
  <c r="J667" i="22"/>
  <c r="J666" i="22"/>
  <c r="J665" i="22"/>
  <c r="J664" i="22"/>
  <c r="J663" i="22"/>
  <c r="J662" i="22"/>
  <c r="J661" i="22"/>
  <c r="J660" i="22"/>
  <c r="J659" i="22"/>
  <c r="J658" i="22"/>
  <c r="J657" i="22"/>
  <c r="J656" i="22"/>
  <c r="J655" i="22"/>
  <c r="J654" i="22"/>
  <c r="J653" i="22"/>
  <c r="J652" i="22"/>
  <c r="J651" i="22"/>
  <c r="J650" i="22"/>
  <c r="J649" i="22"/>
  <c r="J648" i="22"/>
  <c r="J647" i="22"/>
  <c r="J646" i="22"/>
  <c r="J645" i="22"/>
  <c r="J644" i="22"/>
  <c r="J643" i="22"/>
  <c r="J642" i="22"/>
  <c r="J641" i="22"/>
  <c r="J640" i="22"/>
  <c r="J639" i="22"/>
  <c r="J638" i="22"/>
  <c r="J637" i="22"/>
  <c r="J636" i="22"/>
  <c r="J635" i="22"/>
  <c r="J634" i="22"/>
  <c r="J633" i="22"/>
  <c r="J632" i="22"/>
  <c r="J631" i="22"/>
  <c r="J630" i="22"/>
  <c r="J629" i="22"/>
  <c r="J628" i="22"/>
  <c r="J627" i="22"/>
  <c r="J626" i="22"/>
  <c r="J625" i="22"/>
  <c r="J624" i="22"/>
  <c r="J623" i="22"/>
  <c r="J622" i="22"/>
  <c r="J621" i="22"/>
  <c r="J620" i="22"/>
  <c r="J619" i="22"/>
  <c r="J618" i="22"/>
  <c r="J617" i="22"/>
  <c r="J616" i="22"/>
  <c r="J615" i="22"/>
  <c r="J614" i="22"/>
  <c r="J613" i="22"/>
  <c r="J612" i="22"/>
  <c r="J611" i="22"/>
  <c r="J610" i="22"/>
  <c r="J609" i="22"/>
  <c r="J608" i="22"/>
  <c r="J607" i="22"/>
  <c r="J606" i="22"/>
  <c r="J605" i="22"/>
  <c r="J604" i="22"/>
  <c r="J603" i="22"/>
  <c r="J602" i="22"/>
  <c r="J601" i="22"/>
  <c r="J600" i="22"/>
  <c r="J599" i="22"/>
  <c r="J598" i="22"/>
  <c r="J597" i="22"/>
  <c r="J596" i="22"/>
  <c r="J595" i="22"/>
  <c r="J594" i="22"/>
  <c r="J593" i="22"/>
  <c r="J592" i="22"/>
  <c r="J591" i="22"/>
  <c r="J590" i="22"/>
  <c r="J589" i="22"/>
  <c r="J588" i="22"/>
  <c r="J587" i="22"/>
  <c r="J586" i="22"/>
  <c r="J585" i="22"/>
  <c r="J584" i="22"/>
  <c r="J583" i="22"/>
  <c r="J582" i="22"/>
  <c r="J581" i="22"/>
  <c r="J580" i="22"/>
  <c r="J579" i="22"/>
  <c r="J578" i="22"/>
  <c r="J577" i="22"/>
  <c r="J576" i="22"/>
  <c r="J575" i="22"/>
  <c r="J574" i="22"/>
  <c r="J573" i="22"/>
  <c r="J572" i="22"/>
  <c r="J571" i="22"/>
  <c r="J570" i="22"/>
  <c r="J569" i="22"/>
  <c r="J568" i="22"/>
  <c r="J567" i="22"/>
  <c r="J566" i="22"/>
  <c r="J565" i="22"/>
  <c r="J564" i="22"/>
  <c r="J563" i="22"/>
  <c r="J562" i="22"/>
  <c r="J561" i="22"/>
  <c r="J560" i="22"/>
  <c r="J559" i="22"/>
  <c r="J558" i="22"/>
  <c r="J557" i="22"/>
  <c r="J556" i="22"/>
  <c r="J555" i="22"/>
  <c r="J554" i="22"/>
  <c r="J553" i="22"/>
  <c r="J552" i="22"/>
  <c r="J551" i="22"/>
  <c r="J550" i="22"/>
  <c r="J549" i="22"/>
  <c r="J548" i="22"/>
  <c r="J547" i="22"/>
  <c r="J546" i="22"/>
  <c r="J545" i="22"/>
  <c r="J544" i="22"/>
  <c r="J543" i="22"/>
  <c r="J542" i="22"/>
  <c r="J541" i="22"/>
  <c r="J540" i="22"/>
  <c r="J539" i="22"/>
  <c r="J538" i="22"/>
  <c r="J537" i="22"/>
  <c r="J536" i="22"/>
  <c r="J535" i="22"/>
  <c r="J534" i="22"/>
  <c r="J533" i="22"/>
  <c r="J532" i="22"/>
  <c r="J531" i="22"/>
  <c r="J530" i="22"/>
  <c r="J529" i="22"/>
  <c r="J528" i="22"/>
  <c r="J527" i="22"/>
  <c r="J526" i="22"/>
  <c r="J525" i="22"/>
  <c r="J524" i="22"/>
  <c r="J523" i="22"/>
  <c r="J522" i="22"/>
  <c r="J521" i="22"/>
  <c r="J520" i="22"/>
  <c r="J519" i="22"/>
  <c r="J518" i="22"/>
  <c r="J517" i="22"/>
  <c r="J516" i="22"/>
  <c r="J515" i="22"/>
  <c r="J514" i="22"/>
  <c r="J513" i="22"/>
  <c r="J512" i="22"/>
  <c r="J511" i="22"/>
  <c r="J510" i="22"/>
  <c r="J509" i="22"/>
  <c r="J508" i="22"/>
  <c r="J507" i="22"/>
  <c r="J506" i="22"/>
  <c r="J505" i="22"/>
  <c r="J504" i="22"/>
  <c r="J503" i="22"/>
  <c r="J502" i="22"/>
  <c r="J501" i="22"/>
  <c r="J500" i="22"/>
  <c r="J499" i="22"/>
  <c r="J498" i="22"/>
  <c r="J497" i="22"/>
  <c r="J496" i="22"/>
  <c r="J495" i="22"/>
  <c r="J494" i="22"/>
  <c r="J493" i="22"/>
  <c r="J492" i="22"/>
  <c r="J491" i="22"/>
  <c r="J490" i="22"/>
  <c r="J489" i="22"/>
  <c r="J488" i="22"/>
  <c r="J487" i="22"/>
  <c r="J486" i="22"/>
  <c r="J485" i="22"/>
  <c r="J484" i="22"/>
  <c r="J483" i="22"/>
  <c r="J482" i="22"/>
  <c r="J481" i="22"/>
  <c r="J480" i="22"/>
  <c r="J479" i="22"/>
  <c r="J478" i="22"/>
  <c r="J477" i="22"/>
  <c r="J476" i="22"/>
  <c r="J475" i="22"/>
  <c r="J474" i="22"/>
  <c r="J473" i="22"/>
  <c r="J472" i="22"/>
  <c r="J471" i="22"/>
  <c r="J470" i="22"/>
  <c r="J469" i="22"/>
  <c r="J468" i="22"/>
  <c r="J467" i="22"/>
  <c r="J466" i="22"/>
  <c r="J465" i="22"/>
  <c r="J464" i="22"/>
  <c r="J463" i="22"/>
  <c r="J462" i="22"/>
  <c r="J461" i="22"/>
  <c r="J460" i="22"/>
  <c r="J459" i="22"/>
  <c r="J458" i="22"/>
  <c r="J457" i="22"/>
  <c r="J456" i="22"/>
  <c r="J455" i="22"/>
  <c r="J454" i="22"/>
  <c r="J453" i="22"/>
  <c r="J452" i="22"/>
  <c r="J451" i="22"/>
  <c r="J450" i="22"/>
  <c r="J449" i="22"/>
  <c r="J448" i="22"/>
  <c r="J447" i="22"/>
  <c r="J446" i="22"/>
  <c r="J445" i="22"/>
  <c r="J444" i="22"/>
  <c r="J443" i="22"/>
  <c r="J442" i="22"/>
  <c r="J441" i="22"/>
  <c r="J440" i="22"/>
  <c r="J439" i="22"/>
  <c r="J438" i="22"/>
  <c r="J437" i="22"/>
  <c r="J436" i="22"/>
  <c r="J435" i="22"/>
  <c r="J434" i="22"/>
  <c r="J433" i="22"/>
  <c r="J432" i="22"/>
  <c r="J431" i="22"/>
  <c r="J430" i="22"/>
  <c r="J429" i="22"/>
  <c r="J428" i="22"/>
  <c r="J427" i="22"/>
  <c r="J426" i="22"/>
  <c r="J425" i="22"/>
  <c r="J424" i="22"/>
  <c r="J423" i="22"/>
  <c r="J422" i="22"/>
  <c r="J421" i="22"/>
  <c r="J420" i="22"/>
  <c r="J419" i="22"/>
  <c r="J418" i="22"/>
  <c r="J417" i="22"/>
  <c r="J416" i="22"/>
  <c r="J415" i="22"/>
  <c r="J414" i="22"/>
  <c r="J413" i="22"/>
  <c r="J412" i="22"/>
  <c r="J411" i="22"/>
  <c r="J410" i="22"/>
  <c r="J409" i="22"/>
  <c r="J408" i="22"/>
  <c r="J407" i="22"/>
  <c r="J406" i="22"/>
  <c r="J405" i="22"/>
  <c r="J404" i="22"/>
  <c r="J403" i="22"/>
  <c r="J402" i="22"/>
  <c r="J401" i="22"/>
  <c r="J400" i="22"/>
  <c r="J399" i="22"/>
  <c r="J398" i="22"/>
  <c r="J397" i="22"/>
  <c r="J396" i="22"/>
  <c r="J395" i="22"/>
  <c r="J394" i="22"/>
  <c r="J393" i="22"/>
  <c r="J392" i="22"/>
  <c r="J391" i="22"/>
  <c r="J390" i="22"/>
  <c r="J389" i="22"/>
  <c r="J388" i="22"/>
  <c r="J387" i="22"/>
  <c r="J386" i="22"/>
  <c r="J385" i="22"/>
  <c r="J384" i="22"/>
  <c r="J383" i="22"/>
  <c r="J382" i="22"/>
  <c r="J381" i="22"/>
  <c r="J380" i="22"/>
  <c r="J379" i="22"/>
  <c r="J378" i="22"/>
  <c r="J377" i="22"/>
  <c r="J376" i="22"/>
  <c r="J375" i="22"/>
  <c r="J374" i="22"/>
  <c r="J373" i="22"/>
  <c r="J372" i="22"/>
  <c r="J371" i="22"/>
  <c r="J370" i="22"/>
  <c r="J369" i="22"/>
  <c r="J368" i="22"/>
  <c r="J367" i="22"/>
  <c r="J366" i="22"/>
  <c r="J365" i="22"/>
  <c r="J364" i="22"/>
  <c r="J363" i="22"/>
  <c r="J362" i="22"/>
  <c r="J361" i="22"/>
  <c r="J360" i="22"/>
  <c r="J359" i="22"/>
  <c r="J358" i="22"/>
  <c r="J357" i="22"/>
  <c r="J356" i="22"/>
  <c r="J355" i="22"/>
  <c r="J354" i="22"/>
  <c r="J353" i="22"/>
  <c r="J352" i="22"/>
  <c r="J351" i="22"/>
  <c r="J350" i="22"/>
  <c r="J349" i="22"/>
  <c r="J348" i="22"/>
  <c r="J347" i="22"/>
  <c r="J346" i="22"/>
  <c r="J345" i="22"/>
  <c r="J344" i="22"/>
  <c r="J343" i="22"/>
  <c r="J342" i="22"/>
  <c r="J341" i="22"/>
  <c r="J340" i="22"/>
  <c r="J339" i="22"/>
  <c r="J338" i="22"/>
  <c r="J337" i="22"/>
  <c r="J336" i="22"/>
  <c r="J335" i="22"/>
  <c r="J334" i="22"/>
  <c r="J333" i="22"/>
  <c r="J332" i="22"/>
  <c r="J331" i="22"/>
  <c r="J330" i="22"/>
  <c r="J329" i="22"/>
  <c r="J328" i="22"/>
  <c r="J327" i="22"/>
  <c r="J326" i="22"/>
  <c r="J325" i="22"/>
  <c r="J324" i="22"/>
  <c r="J323" i="22"/>
  <c r="J322" i="22"/>
  <c r="J321" i="22"/>
  <c r="J320" i="22"/>
  <c r="J319" i="22"/>
  <c r="J318" i="22"/>
  <c r="J317" i="22"/>
  <c r="J316" i="22"/>
  <c r="J315" i="22"/>
  <c r="J314" i="22"/>
  <c r="J313" i="22"/>
  <c r="J312" i="22"/>
  <c r="J311" i="22"/>
  <c r="J310" i="22"/>
  <c r="J309" i="22"/>
  <c r="J308" i="22"/>
  <c r="J307" i="22"/>
  <c r="J306" i="22"/>
  <c r="J305" i="22"/>
  <c r="J304" i="22"/>
  <c r="J303" i="22"/>
  <c r="J302" i="22"/>
  <c r="J301" i="22"/>
  <c r="J300" i="22"/>
  <c r="J299" i="22"/>
  <c r="J298" i="22"/>
  <c r="J297" i="22"/>
  <c r="J296" i="22"/>
  <c r="J295" i="22"/>
  <c r="J294" i="22"/>
  <c r="J293" i="22"/>
  <c r="J292" i="22"/>
  <c r="J291" i="22"/>
  <c r="J290" i="22"/>
  <c r="J289" i="22"/>
  <c r="J288" i="22"/>
  <c r="J287" i="22"/>
  <c r="J286" i="22"/>
  <c r="J285" i="22"/>
  <c r="J284" i="22"/>
  <c r="J283" i="22"/>
  <c r="J282" i="22"/>
  <c r="J281" i="22"/>
  <c r="J280" i="22"/>
  <c r="J279" i="22"/>
  <c r="J278" i="22"/>
  <c r="J277" i="22"/>
  <c r="J276" i="22"/>
  <c r="J275" i="22"/>
  <c r="J274" i="22"/>
  <c r="J273" i="22"/>
  <c r="J272" i="22"/>
  <c r="J271" i="22"/>
  <c r="J270" i="22"/>
  <c r="J269" i="22"/>
  <c r="J268" i="22"/>
  <c r="J267" i="22"/>
  <c r="J266" i="22"/>
  <c r="J265" i="22"/>
  <c r="J264" i="22"/>
  <c r="J263" i="22"/>
  <c r="J262" i="22"/>
  <c r="J261" i="22"/>
  <c r="J260" i="22"/>
  <c r="J259" i="22"/>
  <c r="J258" i="22"/>
  <c r="J257" i="22"/>
  <c r="J256" i="22"/>
  <c r="J255" i="22"/>
  <c r="J254" i="22"/>
  <c r="J253" i="22"/>
  <c r="J252" i="22"/>
  <c r="J251" i="22"/>
  <c r="J250" i="22"/>
  <c r="J249" i="22"/>
  <c r="J248" i="22"/>
  <c r="J247" i="22"/>
  <c r="J246" i="22"/>
  <c r="J245" i="22"/>
  <c r="J244" i="22"/>
  <c r="J243" i="22"/>
  <c r="J242" i="22"/>
  <c r="J241" i="22"/>
  <c r="J240" i="22"/>
  <c r="J239" i="22"/>
  <c r="J238" i="22"/>
  <c r="J237" i="22"/>
  <c r="J236" i="22"/>
  <c r="J235" i="22"/>
  <c r="J234" i="22"/>
  <c r="J233" i="22"/>
  <c r="J232" i="22"/>
  <c r="J231" i="22"/>
  <c r="J230" i="22"/>
  <c r="J229" i="22"/>
  <c r="J228" i="22"/>
  <c r="J227" i="22"/>
  <c r="J226" i="22"/>
  <c r="J225" i="22"/>
  <c r="J224" i="22"/>
  <c r="J223" i="22"/>
  <c r="J222" i="22"/>
  <c r="J221" i="22"/>
  <c r="J220" i="22"/>
  <c r="J219" i="22"/>
  <c r="J218" i="22"/>
  <c r="J217" i="22"/>
  <c r="J216" i="22"/>
  <c r="J215" i="22"/>
  <c r="J214" i="22"/>
  <c r="J213" i="22"/>
  <c r="J212" i="22"/>
  <c r="J211" i="22"/>
  <c r="J210" i="22"/>
  <c r="J209" i="22"/>
  <c r="J208" i="22"/>
  <c r="J207" i="22"/>
  <c r="J206" i="22"/>
  <c r="J205" i="22"/>
  <c r="J204" i="22"/>
  <c r="J203" i="22"/>
  <c r="J202" i="22"/>
  <c r="J201" i="22"/>
  <c r="J200" i="22"/>
  <c r="J199" i="22"/>
  <c r="J198" i="22"/>
  <c r="J197" i="22"/>
  <c r="J196" i="22"/>
  <c r="J195" i="22"/>
  <c r="J194" i="22"/>
  <c r="J193" i="22"/>
  <c r="J192" i="22"/>
  <c r="J191" i="22"/>
  <c r="J190" i="22"/>
  <c r="J189" i="22"/>
  <c r="J188" i="22"/>
  <c r="J187" i="22"/>
  <c r="J186" i="22"/>
  <c r="J185" i="22"/>
  <c r="J184" i="22"/>
  <c r="J183" i="22"/>
  <c r="J182" i="22"/>
  <c r="J181" i="22"/>
  <c r="J180" i="22"/>
  <c r="J179" i="22"/>
  <c r="J178" i="22"/>
  <c r="J177" i="22"/>
  <c r="J176" i="22"/>
  <c r="J175" i="22"/>
  <c r="J174" i="22"/>
  <c r="J173" i="22"/>
  <c r="J172" i="22"/>
  <c r="J171" i="22"/>
  <c r="J170" i="22"/>
  <c r="J169" i="22"/>
  <c r="J168" i="22"/>
  <c r="J167" i="22"/>
  <c r="J166" i="22"/>
  <c r="J165" i="22"/>
  <c r="J164" i="22"/>
  <c r="J163" i="22"/>
  <c r="J162" i="22"/>
  <c r="J161" i="22"/>
  <c r="J160" i="22"/>
  <c r="J159" i="22"/>
  <c r="J158" i="22"/>
  <c r="J157" i="22"/>
  <c r="J156" i="22"/>
  <c r="J155" i="22"/>
  <c r="J154" i="22"/>
  <c r="J153" i="22"/>
  <c r="J152" i="22"/>
  <c r="J151" i="22"/>
  <c r="J150" i="22"/>
  <c r="J149" i="22"/>
  <c r="J148" i="22"/>
  <c r="J147" i="22"/>
  <c r="J146" i="22"/>
  <c r="J145" i="22"/>
  <c r="J144" i="22"/>
  <c r="J143" i="22"/>
  <c r="J142" i="22"/>
  <c r="J141" i="22"/>
  <c r="J140" i="22"/>
  <c r="J139" i="22"/>
  <c r="J138" i="22"/>
  <c r="J137" i="22"/>
  <c r="J136" i="22"/>
  <c r="J135" i="22"/>
  <c r="J134" i="22"/>
  <c r="J133" i="22"/>
  <c r="J132" i="22"/>
  <c r="J131" i="22"/>
  <c r="J130" i="22"/>
  <c r="J129" i="22"/>
  <c r="J128" i="22"/>
  <c r="J127" i="22"/>
  <c r="J126" i="22"/>
  <c r="J125" i="22"/>
  <c r="J124" i="22"/>
  <c r="J123" i="22"/>
  <c r="J122" i="22"/>
  <c r="J121" i="22"/>
  <c r="J120" i="22"/>
  <c r="J119" i="22"/>
  <c r="J118" i="22"/>
  <c r="J117" i="22"/>
  <c r="J116" i="22"/>
  <c r="J115" i="22"/>
  <c r="J114" i="22"/>
  <c r="J113" i="22"/>
  <c r="J112" i="22"/>
  <c r="J111" i="22"/>
  <c r="J110" i="22"/>
  <c r="J109" i="22"/>
  <c r="J108" i="22"/>
  <c r="J107" i="22"/>
  <c r="J106" i="22"/>
  <c r="J105" i="22"/>
  <c r="J104" i="22"/>
  <c r="J103" i="22"/>
  <c r="J102" i="22"/>
  <c r="J101" i="22"/>
  <c r="J100" i="22"/>
  <c r="J99" i="22"/>
  <c r="J98" i="22"/>
  <c r="J97" i="22"/>
  <c r="J96" i="22"/>
  <c r="J95" i="22"/>
  <c r="J94" i="22"/>
  <c r="J93" i="22"/>
  <c r="J92" i="22"/>
  <c r="J91" i="22"/>
  <c r="J90" i="22"/>
  <c r="J89" i="22"/>
  <c r="J88" i="22"/>
  <c r="J87" i="22"/>
  <c r="J86" i="22"/>
  <c r="J85" i="22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J68" i="22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B1" i="22"/>
  <c r="M11" i="20"/>
  <c r="M12" i="18"/>
  <c r="M40" i="17"/>
  <c r="M11" i="17"/>
  <c r="M11" i="16"/>
  <c r="K12" i="15"/>
  <c r="M11" i="14"/>
  <c r="M11" i="13"/>
  <c r="X20" i="13"/>
  <c r="X19" i="13"/>
  <c r="X16" i="13"/>
  <c r="X15" i="13"/>
  <c r="M11" i="12"/>
  <c r="M11" i="11"/>
  <c r="M11" i="10"/>
  <c r="K21" i="2"/>
  <c r="N21" i="2" s="1"/>
  <c r="K19" i="2"/>
  <c r="M19" i="2" s="1"/>
  <c r="O19" i="2" s="1"/>
  <c r="K20" i="2"/>
  <c r="N20" i="2" s="1"/>
  <c r="K22" i="2"/>
  <c r="N22" i="2" s="1"/>
  <c r="K26" i="2"/>
  <c r="N26" i="2" s="1"/>
  <c r="K30" i="2"/>
  <c r="N30" i="2" s="1"/>
  <c r="K32" i="2"/>
  <c r="N32" i="2" s="1"/>
  <c r="K34" i="2"/>
  <c r="N34" i="2" s="1"/>
  <c r="K35" i="2"/>
  <c r="M35" i="2" s="1"/>
  <c r="O35" i="2" s="1"/>
  <c r="K36" i="2"/>
  <c r="N36" i="2" s="1"/>
  <c r="K38" i="2"/>
  <c r="N38" i="2" s="1"/>
  <c r="B12" i="8"/>
  <c r="M12" i="14" s="1"/>
  <c r="A2" i="8"/>
  <c r="C9" i="7"/>
  <c r="A3" i="7"/>
  <c r="A2" i="7"/>
  <c r="C8" i="7"/>
  <c r="M11" i="6"/>
  <c r="M11" i="5"/>
  <c r="N11" i="4"/>
  <c r="M11" i="2"/>
  <c r="N11" i="1"/>
  <c r="P34" i="4"/>
  <c r="P18" i="4"/>
  <c r="P35" i="4"/>
  <c r="P31" i="4"/>
  <c r="P27" i="4"/>
  <c r="P23" i="4"/>
  <c r="P19" i="4"/>
  <c r="P16" i="4"/>
  <c r="P37" i="4"/>
  <c r="P29" i="4"/>
  <c r="P25" i="4"/>
  <c r="P21" i="4"/>
  <c r="X17" i="13"/>
  <c r="X18" i="13"/>
  <c r="N27" i="2" l="1"/>
  <c r="M27" i="2"/>
  <c r="O27" i="2" s="1"/>
  <c r="N18" i="2"/>
  <c r="M18" i="2"/>
  <c r="O18" i="2" s="1"/>
  <c r="N23" i="2"/>
  <c r="M23" i="2"/>
  <c r="O23" i="2" s="1"/>
  <c r="N31" i="2"/>
  <c r="M31" i="2"/>
  <c r="O31" i="2" s="1"/>
  <c r="M12" i="20"/>
  <c r="P38" i="4"/>
  <c r="P26" i="4"/>
  <c r="M12" i="13"/>
  <c r="M13" i="18"/>
  <c r="M22" i="2"/>
  <c r="O22" i="2" s="1"/>
  <c r="N39" i="2"/>
  <c r="P22" i="4"/>
  <c r="M12" i="23"/>
  <c r="N12" i="4"/>
  <c r="P17" i="4"/>
  <c r="N19" i="2"/>
  <c r="M12" i="11"/>
  <c r="M12" i="17"/>
  <c r="M12" i="24"/>
  <c r="N37" i="2"/>
  <c r="M37" i="2"/>
  <c r="O37" i="2" s="1"/>
  <c r="N25" i="2"/>
  <c r="M25" i="2"/>
  <c r="O25" i="2" s="1"/>
  <c r="N40" i="2"/>
  <c r="M40" i="2"/>
  <c r="O40" i="2" s="1"/>
  <c r="K19" i="9"/>
  <c r="N28" i="2"/>
  <c r="M28" i="2"/>
  <c r="O28" i="2" s="1"/>
  <c r="N35" i="2"/>
  <c r="M38" i="2"/>
  <c r="O38" i="2" s="1"/>
  <c r="M34" i="2"/>
  <c r="O34" i="2" s="1"/>
  <c r="M30" i="2"/>
  <c r="O30" i="2" s="1"/>
  <c r="M26" i="2"/>
  <c r="O26" i="2" s="1"/>
  <c r="M21" i="2"/>
  <c r="O21" i="2" s="1"/>
  <c r="M17" i="2"/>
  <c r="O17" i="2" s="1"/>
  <c r="M12" i="6"/>
  <c r="M12" i="12"/>
  <c r="M12" i="16"/>
  <c r="M12" i="5"/>
  <c r="M16" i="2"/>
  <c r="O16" i="2" s="1"/>
  <c r="M33" i="2"/>
  <c r="O33" i="2" s="1"/>
  <c r="M29" i="2"/>
  <c r="O29" i="2" s="1"/>
  <c r="M20" i="2"/>
  <c r="O20" i="2" s="1"/>
  <c r="M12" i="10"/>
  <c r="N12" i="9"/>
  <c r="B2" i="22"/>
  <c r="M36" i="2"/>
  <c r="O36" i="2" s="1"/>
  <c r="M32" i="2"/>
  <c r="O32" i="2" s="1"/>
  <c r="M24" i="2"/>
  <c r="O24" i="2" s="1"/>
  <c r="K21" i="9" l="1"/>
  <c r="K26" i="9" s="1"/>
  <c r="K28" i="9" l="1"/>
  <c r="K33" i="9" s="1"/>
  <c r="K35" i="9" l="1"/>
  <c r="K37" i="9" l="1"/>
  <c r="K39" i="9" s="1"/>
  <c r="K41" i="9" s="1"/>
  <c r="K42" i="9" s="1"/>
  <c r="K47" i="9" l="1"/>
  <c r="K49" i="9" s="1"/>
  <c r="K54" i="9" s="1"/>
  <c r="K56" i="9" l="1"/>
  <c r="K61" i="9" s="1"/>
  <c r="K63" i="9" s="1"/>
  <c r="K69" i="9" s="1"/>
  <c r="K73" i="9" s="1"/>
  <c r="K74" i="9" s="1"/>
  <c r="K76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is the start workbook, these are solely external sources to the application.
Otherwise, it is all sources (other workbooks and sources).</t>
        </r>
      </text>
    </comment>
    <comment ref="A21" authorId="0" shapeId="0" xr:uid="{00000000-0006-0000-0000-000002000000}">
      <text>
        <r>
          <rPr>
            <sz val="8"/>
            <color indexed="81"/>
            <rFont val="Tahoma"/>
            <family val="2"/>
          </rPr>
          <t>If this is the start workbook, these are solely external destinations of the application.
Otherwise, it is all destinations (other workbooks and external destinations).</t>
        </r>
      </text>
    </comment>
    <comment ref="A22" authorId="0" shapeId="0" xr:uid="{00000000-0006-0000-0000-000003000000}">
      <text>
        <r>
          <rPr>
            <sz val="8"/>
            <color indexed="81"/>
            <rFont val="Tahoma"/>
            <family val="2"/>
          </rPr>
          <t>First file to open in a multi-workbook application.</t>
        </r>
      </text>
    </comment>
    <comment ref="A23" authorId="0" shapeId="0" xr:uid="{00000000-0006-0000-0000-000004000000}">
      <text>
        <r>
          <rPr>
            <sz val="8"/>
            <color indexed="81"/>
            <rFont val="Tahoma"/>
            <family val="2"/>
          </rPr>
          <t>Names of workbooks. This is essential for start workbook only 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L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Genie Excel slides presenter add-in</t>
        </r>
        <r>
          <rPr>
            <sz val="9"/>
            <color indexed="81"/>
            <rFont val="Tahoma"/>
            <family val="2"/>
          </rPr>
          <t xml:space="preserve">
Ctrl+n - Next slide
Ctrl+p - Previous slide
Ctrl+t - Same slide as previous shown
Ctrl+e - Remove slide
Ctrl+o - Specify slide by number
Ctrl+Shift+N - Insert slides table sheet
Ctrl+l - Toggle cell fill yellow (l is lower case L)</t>
        </r>
      </text>
    </comment>
    <comment ref="N14" authorId="0" shapeId="0" xr:uid="{00000000-0006-0000-0100-000002000000}">
      <text>
        <r>
          <rPr>
            <sz val="9"/>
            <color indexed="81"/>
            <rFont val="Tahoma"/>
            <family val="2"/>
          </rPr>
          <t>Default is 100.
If you set the slide 1 value, that becomes the default for subsequent slides.</t>
        </r>
      </text>
    </comment>
    <comment ref="O14" authorId="0" shapeId="0" xr:uid="{00000000-0006-0000-0100-000003000000}">
      <text>
        <r>
          <rPr>
            <sz val="9"/>
            <color indexed="81"/>
            <rFont val="Tahoma"/>
            <family val="2"/>
          </rPr>
          <t>Default is 130.
If you set the slide 1 value, that becomes the default for subsequent slides.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13" authorId="0" shapeId="0" xr:uid="{00000000-0006-0000-0200-000001000000}">
      <text>
        <r>
          <rPr>
            <sz val="8"/>
            <color indexed="81"/>
            <rFont val="Tahoma"/>
            <family val="2"/>
          </rPr>
          <t>Hide Web toolbar when file opens.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<sst xmlns="http://schemas.openxmlformats.org/spreadsheetml/2006/main" count="8716" uniqueCount="1569">
  <si>
    <t>Upper, Lower and Proper</t>
  </si>
  <si>
    <t>Name</t>
  </si>
  <si>
    <t>Code</t>
  </si>
  <si>
    <t xml:space="preserve">      mr ash</t>
  </si>
  <si>
    <t>AS 64707 NZ</t>
  </si>
  <si>
    <t>Mr  fuller</t>
  </si>
  <si>
    <t>ZS 32723 AU</t>
  </si>
  <si>
    <t>ms    harvey</t>
  </si>
  <si>
    <t>OS 86622 ZA</t>
  </si>
  <si>
    <t>Ms   lynch</t>
  </si>
  <si>
    <t>RS 82138 ZA</t>
  </si>
  <si>
    <t>MS  DUNN</t>
  </si>
  <si>
    <t>DE 46894 AU</t>
  </si>
  <si>
    <t>ms  henry</t>
  </si>
  <si>
    <t>LT 07228 UK</t>
  </si>
  <si>
    <t>MR  berry</t>
  </si>
  <si>
    <t>LE 17669 NZ</t>
  </si>
  <si>
    <t>Sir porter</t>
  </si>
  <si>
    <t>DS 67223 NZ</t>
  </si>
  <si>
    <t>Mrs grant</t>
  </si>
  <si>
    <t>DE 00545 UK</t>
  </si>
  <si>
    <t>MRS gonzalez</t>
  </si>
  <si>
    <t>RO 74354 NZ</t>
  </si>
  <si>
    <t>MS  lynch</t>
  </si>
  <si>
    <t>ST 62159 UK</t>
  </si>
  <si>
    <t>mrs woods</t>
  </si>
  <si>
    <t>OT 36552 UK</t>
  </si>
  <si>
    <t>MRS  gutierrez</t>
  </si>
  <si>
    <t>TO 71807 ZA</t>
  </si>
  <si>
    <t>Mrs  romero</t>
  </si>
  <si>
    <t>SO 82526 AU</t>
  </si>
  <si>
    <t>MRS king</t>
  </si>
  <si>
    <t>TE 71266 AU</t>
  </si>
  <si>
    <t>Ms   flores</t>
  </si>
  <si>
    <t>UE 69242 ZA</t>
  </si>
  <si>
    <t>MRS BOYD</t>
  </si>
  <si>
    <t>DE 50969 ZA</t>
  </si>
  <si>
    <t>Mrs watson</t>
  </si>
  <si>
    <t>UO 56871 AU</t>
  </si>
  <si>
    <t>ms   hernandez</t>
  </si>
  <si>
    <t>LT 66643 ZA</t>
  </si>
  <si>
    <t>ms  fuller</t>
  </si>
  <si>
    <t>OT 16050 UK</t>
  </si>
  <si>
    <t>mrs dunn</t>
  </si>
  <si>
    <t>AS 17614 ZA</t>
  </si>
  <si>
    <t>mrs griffin</t>
  </si>
  <si>
    <t>ZE 83901 AU</t>
  </si>
  <si>
    <t>Sir  porter</t>
  </si>
  <si>
    <t>LT 48404 AU</t>
  </si>
  <si>
    <t>MRS  scott</t>
  </si>
  <si>
    <t>RO 87396 NZ</t>
  </si>
  <si>
    <t>US 67259 NZ</t>
  </si>
  <si>
    <t>Trim and Len</t>
  </si>
  <si>
    <t>mr ash</t>
  </si>
  <si>
    <t>Text to Columns</t>
  </si>
  <si>
    <t>Names</t>
  </si>
  <si>
    <t>Bob Sims</t>
  </si>
  <si>
    <t>James      Parker</t>
  </si>
  <si>
    <t>Erin  Dean</t>
  </si>
  <si>
    <t>Summer Lynch</t>
  </si>
  <si>
    <t>Keira  Roberts</t>
  </si>
  <si>
    <t>Ethan      Miller</t>
  </si>
  <si>
    <t>Harrison Cooper</t>
  </si>
  <si>
    <t>Gabriel Reynolds</t>
  </si>
  <si>
    <t>Jacob Reyes</t>
  </si>
  <si>
    <t>Abbie       Pierce</t>
  </si>
  <si>
    <t>Ethan  Lane</t>
  </si>
  <si>
    <t>Millie Taylor</t>
  </si>
  <si>
    <t>Marcus Kim</t>
  </si>
  <si>
    <t>Theo    Lee</t>
  </si>
  <si>
    <t>Ben Mitchell</t>
  </si>
  <si>
    <t>Andrew Stephens</t>
  </si>
  <si>
    <t>Lucas  Jones</t>
  </si>
  <si>
    <t>Ben  Cooper</t>
  </si>
  <si>
    <t>Courtney  Wallace</t>
  </si>
  <si>
    <t>Melissa  Flores</t>
  </si>
  <si>
    <t>Nicholas   Myers</t>
  </si>
  <si>
    <t>John Smith</t>
  </si>
  <si>
    <t>Zara    de Havilland</t>
  </si>
  <si>
    <t>Isabelle Torres</t>
  </si>
  <si>
    <t>Henry  Le Berr</t>
  </si>
  <si>
    <t>Jack  Jenkins</t>
  </si>
  <si>
    <t>Guide</t>
  </si>
  <si>
    <t>Overview</t>
  </si>
  <si>
    <t>Application purpose</t>
  </si>
  <si>
    <t>Workbook purpose</t>
  </si>
  <si>
    <t>File name</t>
  </si>
  <si>
    <t>Version</t>
  </si>
  <si>
    <t>Who created/modified</t>
  </si>
  <si>
    <t>Modifications</t>
  </si>
  <si>
    <t>See Changes sheet.</t>
  </si>
  <si>
    <t>References</t>
  </si>
  <si>
    <t>EXAMPLE For description of Data Tables, goto Excel Help  |  Index and type Data Table.</t>
  </si>
  <si>
    <t>Input-Process-Output</t>
  </si>
  <si>
    <t>Data sources</t>
  </si>
  <si>
    <t>EXAMPLE Text file imported from ABC system.</t>
  </si>
  <si>
    <t>Data inputs</t>
  </si>
  <si>
    <t>EXAMPLE Adjustments input onto mSheet4. Other inputs on mSheet3.</t>
  </si>
  <si>
    <t>Process/Calcs</t>
  </si>
  <si>
    <t>EXAMPLE Totals of various grouping of codes on mSheet3</t>
  </si>
  <si>
    <t>Reports</t>
  </si>
  <si>
    <t>EXAMPLE mSheet2</t>
  </si>
  <si>
    <t>Outputs</t>
  </si>
  <si>
    <t>EXAMPLE mSheet4 has output to Summary.xls. oDataSheet has output for text file imported by POWA system.</t>
  </si>
  <si>
    <t>Files</t>
  </si>
  <si>
    <t>Data sourced from</t>
  </si>
  <si>
    <t>EXAMPLE abc.xls, defg.txt</t>
  </si>
  <si>
    <t>Data destined for</t>
  </si>
  <si>
    <t>EXAMPLE hijkl.xls</t>
  </si>
  <si>
    <t>Start workbook</t>
  </si>
  <si>
    <t>This one.</t>
  </si>
  <si>
    <t>Other application files</t>
  </si>
  <si>
    <t>This one only.</t>
  </si>
  <si>
    <t>Naming convention</t>
  </si>
  <si>
    <t>None</t>
  </si>
  <si>
    <t>John Curwood</t>
  </si>
  <si>
    <t>Key parameters</t>
  </si>
  <si>
    <t>Application name</t>
  </si>
  <si>
    <t>Organisation name</t>
  </si>
  <si>
    <t>Application filename prefix</t>
  </si>
  <si>
    <t>Crosscheck tolerance</t>
  </si>
  <si>
    <t>Crosscheck text</t>
  </si>
  <si>
    <t>Crosscheck error!</t>
  </si>
  <si>
    <t>Now</t>
  </si>
  <si>
    <t>HideWebToolbar</t>
  </si>
  <si>
    <t>Slides</t>
  </si>
  <si>
    <t>AbleOwl slides presenter add-in</t>
  </si>
  <si>
    <t>Text</t>
  </si>
  <si>
    <t>Pic</t>
  </si>
  <si>
    <t>Left</t>
  </si>
  <si>
    <t>Top</t>
  </si>
  <si>
    <t>BlankStartingSlide.jpg</t>
  </si>
  <si>
    <t>Proper Case:</t>
  </si>
  <si>
    <t>=UPPER("Text")</t>
  </si>
  <si>
    <t>converts text to lowercase</t>
  </si>
  <si>
    <t>=PROPER("text")</t>
  </si>
  <si>
    <t>=LOWER("Text")</t>
  </si>
  <si>
    <t>Converts Text To Proper Case</t>
  </si>
  <si>
    <t>Data manipulation</t>
  </si>
  <si>
    <t>Product list</t>
  </si>
  <si>
    <t>ID</t>
  </si>
  <si>
    <t>Mr_Fuller</t>
  </si>
  <si>
    <t>Ms_Harvey</t>
  </si>
  <si>
    <t>Ms_Dunn</t>
  </si>
  <si>
    <t>Mr_Berry</t>
  </si>
  <si>
    <t>Sir_Porter</t>
  </si>
  <si>
    <t>Mrs_Grant</t>
  </si>
  <si>
    <t>Mrs_Gonzalez</t>
  </si>
  <si>
    <t>Mrs_Woods</t>
  </si>
  <si>
    <t>Mrs_Gutierrez</t>
  </si>
  <si>
    <t>Mrs_Romero</t>
  </si>
  <si>
    <t>Mrs_King</t>
  </si>
  <si>
    <t>Ms_Flores</t>
  </si>
  <si>
    <t>Mrs_Boyd</t>
  </si>
  <si>
    <t>Mrs_Watson</t>
  </si>
  <si>
    <t>Ms_Hernandez</t>
  </si>
  <si>
    <t>Ms_Fuller</t>
  </si>
  <si>
    <t>Mrs_Dunn</t>
  </si>
  <si>
    <t>Mrs_Griffin</t>
  </si>
  <si>
    <t>Mrs_Scott</t>
  </si>
  <si>
    <t>Ms_Lynch_x0002_</t>
  </si>
  <si>
    <t>Ms_Henry_x0002_</t>
  </si>
  <si>
    <t>Mr_Ash_x0002_</t>
  </si>
  <si>
    <t>Clean</t>
  </si>
  <si>
    <t>Substitute</t>
  </si>
  <si>
    <t>Ms_Van_Houten</t>
  </si>
  <si>
    <t>MS  van houten</t>
  </si>
  <si>
    <t>Names Substitute</t>
  </si>
  <si>
    <t>Split and join text</t>
  </si>
  <si>
    <t>Singers</t>
  </si>
  <si>
    <t>Peter Gabriel</t>
  </si>
  <si>
    <t>Kate Bush</t>
  </si>
  <si>
    <t>Paul Simon</t>
  </si>
  <si>
    <t>Phil Collins</t>
  </si>
  <si>
    <t>Elton John</t>
  </si>
  <si>
    <t>George Michael</t>
  </si>
  <si>
    <t>Create LinkTag here</t>
  </si>
  <si>
    <t>Leave table</t>
  </si>
  <si>
    <t>Leave</t>
  </si>
  <si>
    <t>Date</t>
  </si>
  <si>
    <t>City</t>
  </si>
  <si>
    <t>Dept</t>
  </si>
  <si>
    <t>Type</t>
  </si>
  <si>
    <t>Qtr1</t>
  </si>
  <si>
    <t>Qtr2</t>
  </si>
  <si>
    <t>Qtr3</t>
  </si>
  <si>
    <t>Qtr4</t>
  </si>
  <si>
    <t>Total</t>
  </si>
  <si>
    <t>Auckland</t>
  </si>
  <si>
    <t>Admin</t>
  </si>
  <si>
    <t>Annual</t>
  </si>
  <si>
    <t>AWOL</t>
  </si>
  <si>
    <t>Sick</t>
  </si>
  <si>
    <t>Unpaid</t>
  </si>
  <si>
    <t>HR</t>
  </si>
  <si>
    <t>IT</t>
  </si>
  <si>
    <t>Management</t>
  </si>
  <si>
    <t>Sales</t>
  </si>
  <si>
    <t>Brisbane</t>
  </si>
  <si>
    <t>Distribution</t>
  </si>
  <si>
    <t>Service</t>
  </si>
  <si>
    <t>Dunedin</t>
  </si>
  <si>
    <t>Hamilton</t>
  </si>
  <si>
    <t>Facilities</t>
  </si>
  <si>
    <t>Manufacturing</t>
  </si>
  <si>
    <t>Leeds</t>
  </si>
  <si>
    <t>Melbourne</t>
  </si>
  <si>
    <t>Accounts</t>
  </si>
  <si>
    <t>Sydney</t>
  </si>
  <si>
    <t>Wellington</t>
  </si>
  <si>
    <t>Grand Total</t>
  </si>
  <si>
    <t>Manager's Report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</si>
  <si>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</si>
  <si>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</si>
  <si>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</si>
  <si>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</si>
  <si>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</si>
  <si>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</si>
  <si>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</si>
  <si>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</si>
  <si>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</si>
  <si>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</si>
  <si>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</si>
  <si>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</si>
  <si>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</si>
  <si>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Quality Assurance (My Team)</t>
  </si>
  <si>
    <t>Quality Assurance (Average)</t>
  </si>
  <si>
    <t>Handling Time (My Team)</t>
  </si>
  <si>
    <t>Handling Time (Average)</t>
  </si>
  <si>
    <t>Staff Attendance (My Team)</t>
  </si>
  <si>
    <t>Staff Attendance (Average)</t>
  </si>
  <si>
    <t>Export From Handling Time Report</t>
  </si>
  <si>
    <t>Tm</t>
  </si>
  <si>
    <t>Av</t>
  </si>
  <si>
    <t>Performance measure</t>
  </si>
  <si>
    <t>Product</t>
  </si>
  <si>
    <t>Plan type</t>
  </si>
  <si>
    <t>Rep</t>
  </si>
  <si>
    <t>Region</t>
  </si>
  <si>
    <t>GrinkDwigglers</t>
  </si>
  <si>
    <t>Actual</t>
  </si>
  <si>
    <t>Bill</t>
  </si>
  <si>
    <t>BigPloompf Peninsula</t>
  </si>
  <si>
    <t>SchloonzPloughfers</t>
  </si>
  <si>
    <t>Target</t>
  </si>
  <si>
    <t>Stuart</t>
  </si>
  <si>
    <t>Mozzabuzz Valley</t>
  </si>
  <si>
    <t>Sort by priority</t>
  </si>
  <si>
    <t>Due</t>
  </si>
  <si>
    <t>Priority</t>
  </si>
  <si>
    <t>Who</t>
  </si>
  <si>
    <t>High</t>
  </si>
  <si>
    <t>RT</t>
  </si>
  <si>
    <t>Done</t>
  </si>
  <si>
    <t>PO</t>
  </si>
  <si>
    <t>AB</t>
  </si>
  <si>
    <t>Low</t>
  </si>
  <si>
    <t>Medium</t>
  </si>
  <si>
    <t>Manipulation</t>
  </si>
  <si>
    <t>Paste divide</t>
  </si>
  <si>
    <t>T1</t>
  </si>
  <si>
    <t>T2</t>
  </si>
  <si>
    <t>T3</t>
  </si>
  <si>
    <t>Alpha</t>
  </si>
  <si>
    <t>Beta</t>
  </si>
  <si>
    <t>Gamma</t>
  </si>
  <si>
    <t>Delta</t>
  </si>
  <si>
    <t>Sigma</t>
  </si>
  <si>
    <t>Client DB Extract</t>
  </si>
  <si>
    <t>Textual numbers</t>
  </si>
  <si>
    <t>Credit</t>
  </si>
  <si>
    <t>Cyril Evans</t>
  </si>
  <si>
    <t>0</t>
  </si>
  <si>
    <t>Johnny Malokas</t>
  </si>
  <si>
    <t>43000</t>
  </si>
  <si>
    <t>Jack Burmaster</t>
  </si>
  <si>
    <t>Brandon Bass</t>
  </si>
  <si>
    <t>35000</t>
  </si>
  <si>
    <t>Joe Weber</t>
  </si>
  <si>
    <t>24000</t>
  </si>
  <si>
    <t>Pat Garrity</t>
  </si>
  <si>
    <t>Fred Smith</t>
  </si>
  <si>
    <t>49000</t>
  </si>
  <si>
    <t>Willis Thomas</t>
  </si>
  <si>
    <t>14000</t>
  </si>
  <si>
    <t>Bill Holland</t>
  </si>
  <si>
    <t>Frank Fucarino</t>
  </si>
  <si>
    <t>26000</t>
  </si>
  <si>
    <t>Jim Krebs</t>
  </si>
  <si>
    <t>George Bullock-Douglas</t>
  </si>
  <si>
    <t>25000</t>
  </si>
  <si>
    <t>Tyrone Corbin</t>
  </si>
  <si>
    <t>Amos Zereoue</t>
  </si>
  <si>
    <t>Glenn Robinson</t>
  </si>
  <si>
    <t>Quentin Donald</t>
  </si>
  <si>
    <t>8000</t>
  </si>
  <si>
    <t>George Mcginnis</t>
  </si>
  <si>
    <t>George Gipp</t>
  </si>
  <si>
    <t>Mo Collins</t>
  </si>
  <si>
    <t>Eddy Curry</t>
  </si>
  <si>
    <t>Bill Bergey</t>
  </si>
  <si>
    <t>28000</t>
  </si>
  <si>
    <t>Darryl Talley</t>
  </si>
  <si>
    <t>Randy Allen</t>
  </si>
  <si>
    <t>Suzanne Lilar</t>
  </si>
  <si>
    <t>Quinn Buckner</t>
  </si>
  <si>
    <t>Total:</t>
  </si>
  <si>
    <t>000-000-000-00</t>
  </si>
  <si>
    <t>Format Long codes</t>
  </si>
  <si>
    <t>Number code</t>
  </si>
  <si>
    <t>Number format</t>
  </si>
  <si>
    <t>Manipulate</t>
  </si>
  <si>
    <t>Sort by month</t>
  </si>
  <si>
    <t>Sort by four</t>
  </si>
  <si>
    <t>PlanType</t>
  </si>
  <si>
    <t>Full Year</t>
  </si>
  <si>
    <t>Text to numbers</t>
  </si>
  <si>
    <t>57320</t>
  </si>
  <si>
    <t>61329</t>
  </si>
  <si>
    <t>61330</t>
  </si>
  <si>
    <t>61327</t>
  </si>
  <si>
    <t>41960</t>
  </si>
  <si>
    <t>49640</t>
  </si>
  <si>
    <t>61316</t>
  </si>
  <si>
    <t>56410</t>
  </si>
  <si>
    <t>61318</t>
  </si>
  <si>
    <t>60600</t>
  </si>
  <si>
    <t>60310</t>
  </si>
  <si>
    <t>53480</t>
  </si>
  <si>
    <t>61326</t>
  </si>
  <si>
    <t>61322</t>
  </si>
  <si>
    <t>45800</t>
  </si>
  <si>
    <t>34280</t>
  </si>
  <si>
    <t>61160</t>
  </si>
  <si>
    <t>60228</t>
  </si>
  <si>
    <t>61323</t>
  </si>
  <si>
    <t>61315</t>
  </si>
  <si>
    <t>38120</t>
  </si>
  <si>
    <t>56070</t>
  </si>
  <si>
    <t>15080</t>
  </si>
  <si>
    <t>22760</t>
  </si>
  <si>
    <t>30440</t>
  </si>
  <si>
    <t>11240</t>
  </si>
  <si>
    <t>61324</t>
  </si>
  <si>
    <t>65000</t>
  </si>
  <si>
    <t>61321</t>
  </si>
  <si>
    <t>61325</t>
  </si>
  <si>
    <t>61328</t>
  </si>
  <si>
    <t>61319</t>
  </si>
  <si>
    <t>18920</t>
  </si>
  <si>
    <t>60220</t>
  </si>
  <si>
    <t>26600</t>
  </si>
  <si>
    <t>61320</t>
  </si>
  <si>
    <t>61317</t>
  </si>
  <si>
    <t>Attendance</t>
  </si>
  <si>
    <t>Branch</t>
  </si>
  <si>
    <t>Leave (Days)</t>
  </si>
  <si>
    <t>Country</t>
  </si>
  <si>
    <t>Team</t>
  </si>
  <si>
    <t>Thomas Ellison</t>
  </si>
  <si>
    <t>NZL</t>
  </si>
  <si>
    <t>HW</t>
  </si>
  <si>
    <t>William Davis</t>
  </si>
  <si>
    <t>AUS</t>
  </si>
  <si>
    <t>AW</t>
  </si>
  <si>
    <t>Jack Griffiths</t>
  </si>
  <si>
    <t>GR</t>
  </si>
  <si>
    <t>Andrew White</t>
  </si>
  <si>
    <t>Jason Hewett</t>
  </si>
  <si>
    <t>Terry Mitchell</t>
  </si>
  <si>
    <t>NB</t>
  </si>
  <si>
    <t>John Wells</t>
  </si>
  <si>
    <t>NW</t>
  </si>
  <si>
    <t>Peina Taituha</t>
  </si>
  <si>
    <t>JB</t>
  </si>
  <si>
    <t>Daniel Braid</t>
  </si>
  <si>
    <t>MH</t>
  </si>
  <si>
    <t>David Freitas</t>
  </si>
  <si>
    <t>KI</t>
  </si>
  <si>
    <t>John Jacob</t>
  </si>
  <si>
    <t>AF</t>
  </si>
  <si>
    <t>John Sullivan</t>
  </si>
  <si>
    <t>TM</t>
  </si>
  <si>
    <t>Terrence O'Sullivan</t>
  </si>
  <si>
    <t>DK</t>
  </si>
  <si>
    <t>Graham Mexted</t>
  </si>
  <si>
    <t>Charles Willocks</t>
  </si>
  <si>
    <t>SG</t>
  </si>
  <si>
    <t>Charles Robinson</t>
  </si>
  <si>
    <t>SP</t>
  </si>
  <si>
    <t>Richie Guy</t>
  </si>
  <si>
    <t>CC</t>
  </si>
  <si>
    <t>Jack Shearer</t>
  </si>
  <si>
    <t>WF</t>
  </si>
  <si>
    <t>Keith Arnold</t>
  </si>
  <si>
    <t>AP</t>
  </si>
  <si>
    <t>Tane Norton</t>
  </si>
  <si>
    <t>KE</t>
  </si>
  <si>
    <t>Nathan Mauger</t>
  </si>
  <si>
    <t>NM</t>
  </si>
  <si>
    <t>John Gallagher</t>
  </si>
  <si>
    <t>Casey Laulala</t>
  </si>
  <si>
    <t>ER</t>
  </si>
  <si>
    <t>John Dougan</t>
  </si>
  <si>
    <t>Alexander Wilson</t>
  </si>
  <si>
    <t>RC</t>
  </si>
  <si>
    <t>Mark P. Robinson</t>
  </si>
  <si>
    <t>Peter Webb</t>
  </si>
  <si>
    <t>John Jaffray</t>
  </si>
  <si>
    <t>GH</t>
  </si>
  <si>
    <t>Keith Gudsell</t>
  </si>
  <si>
    <t>Joe Stanley</t>
  </si>
  <si>
    <t>RW</t>
  </si>
  <si>
    <t>Rod Ketels</t>
  </si>
  <si>
    <t>Todd Miller</t>
  </si>
  <si>
    <t>RS</t>
  </si>
  <si>
    <t>Ronald Rangi</t>
  </si>
  <si>
    <t>IF</t>
  </si>
  <si>
    <t>Chris Laidlaw</t>
  </si>
  <si>
    <t>BH</t>
  </si>
  <si>
    <t>Graham Sims</t>
  </si>
  <si>
    <t>LJ</t>
  </si>
  <si>
    <t>Grant Perry</t>
  </si>
  <si>
    <t>MM</t>
  </si>
  <si>
    <t>Gary Seear</t>
  </si>
  <si>
    <t>JH</t>
  </si>
  <si>
    <t>Derren Witcombe</t>
  </si>
  <si>
    <t>Percival W Storey</t>
  </si>
  <si>
    <t>CL</t>
  </si>
  <si>
    <t>Rodney So'oialo</t>
  </si>
  <si>
    <t>Arthur Law</t>
  </si>
  <si>
    <t>Richard Wilson</t>
  </si>
  <si>
    <t>AM</t>
  </si>
  <si>
    <t>Andrew Donald</t>
  </si>
  <si>
    <t>JV</t>
  </si>
  <si>
    <t>Matt Cooper</t>
  </si>
  <si>
    <t>Dean Kenny</t>
  </si>
  <si>
    <t>Charles Quaid</t>
  </si>
  <si>
    <t>Jasin Goldsmith</t>
  </si>
  <si>
    <t>CM</t>
  </si>
  <si>
    <t>Mark Donaldson</t>
  </si>
  <si>
    <t>Craig Innes</t>
  </si>
  <si>
    <t>Jack Tuck</t>
  </si>
  <si>
    <t>JT</t>
  </si>
  <si>
    <t>Daryl Gibson</t>
  </si>
  <si>
    <t>Clive Currie</t>
  </si>
  <si>
    <t>James Graham</t>
  </si>
  <si>
    <t>JG</t>
  </si>
  <si>
    <t>Peter Murdoch</t>
  </si>
  <si>
    <t>Charles Seeling</t>
  </si>
  <si>
    <t>TO</t>
  </si>
  <si>
    <t>Leo Steele</t>
  </si>
  <si>
    <t>Bruce McPhail</t>
  </si>
  <si>
    <t>Harry Frost</t>
  </si>
  <si>
    <t>AH</t>
  </si>
  <si>
    <t>Angus Stuart</t>
  </si>
  <si>
    <t>Graham Moore</t>
  </si>
  <si>
    <t>SM</t>
  </si>
  <si>
    <t>Matemini "Chris" Masoe</t>
  </si>
  <si>
    <t>JO</t>
  </si>
  <si>
    <t>Patrick Rhind</t>
  </si>
  <si>
    <t>Sam Broomhall</t>
  </si>
  <si>
    <t>SC</t>
  </si>
  <si>
    <t>Carlos Spencer</t>
  </si>
  <si>
    <t>Edward Hazlett</t>
  </si>
  <si>
    <t>Frederick Hobbs</t>
  </si>
  <si>
    <t>Bruce Smith</t>
  </si>
  <si>
    <t>Murray Taylor</t>
  </si>
  <si>
    <t>Norm Hewitt</t>
  </si>
  <si>
    <t>Thomas Coughlan</t>
  </si>
  <si>
    <t>Andrew Mehrtens</t>
  </si>
  <si>
    <t>PW</t>
  </si>
  <si>
    <t>Reginald Taylor</t>
  </si>
  <si>
    <t>NT</t>
  </si>
  <si>
    <t>Kupu Vanisi</t>
  </si>
  <si>
    <t>Henry Paton</t>
  </si>
  <si>
    <t>Mervyn Jaffray</t>
  </si>
  <si>
    <t>Edward Hughes</t>
  </si>
  <si>
    <t>UK</t>
  </si>
  <si>
    <t>SB</t>
  </si>
  <si>
    <t>Jason O'Halloran</t>
  </si>
  <si>
    <t>Bruce Gemmell</t>
  </si>
  <si>
    <t>John Taylor</t>
  </si>
  <si>
    <t>Graham Whiting</t>
  </si>
  <si>
    <t>Tuppy Diack</t>
  </si>
  <si>
    <t>Archibald D'Arcy</t>
  </si>
  <si>
    <t>Craig Dowd</t>
  </si>
  <si>
    <t>Sean Fitzpatrick</t>
  </si>
  <si>
    <t>BR</t>
  </si>
  <si>
    <t>William McCaw</t>
  </si>
  <si>
    <t>Sione Lauaki</t>
  </si>
  <si>
    <t>John Taiaroa</t>
  </si>
  <si>
    <t>Robert Bennet</t>
  </si>
  <si>
    <t>Donald McIntosh</t>
  </si>
  <si>
    <t>Henry Avery</t>
  </si>
  <si>
    <t>Stu Foster</t>
  </si>
  <si>
    <t>Owen Stephens</t>
  </si>
  <si>
    <t>Henry Atkinson</t>
  </si>
  <si>
    <t>RG</t>
  </si>
  <si>
    <t>Leslie Cupples</t>
  </si>
  <si>
    <t>KB</t>
  </si>
  <si>
    <t>Thomas Morrison</t>
  </si>
  <si>
    <t>Walter Reside</t>
  </si>
  <si>
    <t>Simon Mynott</t>
  </si>
  <si>
    <t>Albert Asher</t>
  </si>
  <si>
    <t>Stuart Wilson</t>
  </si>
  <si>
    <t>Donald McKay</t>
  </si>
  <si>
    <t>Chresten Davis</t>
  </si>
  <si>
    <t>Samuel Harding</t>
  </si>
  <si>
    <t>John Bruce</t>
  </si>
  <si>
    <t>John Manchester</t>
  </si>
  <si>
    <t>Jeremy Stanley</t>
  </si>
  <si>
    <t>James McCormick</t>
  </si>
  <si>
    <t>Jerry Collins</t>
  </si>
  <si>
    <t>Wayne "Buck" Shelford</t>
  </si>
  <si>
    <t>Anthony Steel</t>
  </si>
  <si>
    <t>Ian Botting</t>
  </si>
  <si>
    <t>Donald Oliver</t>
  </si>
  <si>
    <t>Frederick Lucas</t>
  </si>
  <si>
    <t>Alama Ieremia</t>
  </si>
  <si>
    <t>Edward Millton</t>
  </si>
  <si>
    <t>Howard Joseph</t>
  </si>
  <si>
    <t>Samuel Gemmell</t>
  </si>
  <si>
    <t>Grahame Thorne</t>
  </si>
  <si>
    <t>Thomas Cross</t>
  </si>
  <si>
    <t>John Swain</t>
  </si>
  <si>
    <t>Ian Kirkpatrick</t>
  </si>
  <si>
    <t>Wallace Snodgrass</t>
  </si>
  <si>
    <t>Troy Flavell</t>
  </si>
  <si>
    <t>James Bell</t>
  </si>
  <si>
    <t>Launcelot Johnson</t>
  </si>
  <si>
    <t>Thomas Caughey</t>
  </si>
  <si>
    <t>Andrew Long</t>
  </si>
  <si>
    <t>Murray Jones</t>
  </si>
  <si>
    <t>Brian Ford</t>
  </si>
  <si>
    <t>Josh Kronfeld</t>
  </si>
  <si>
    <t>Fergie McCormick</t>
  </si>
  <si>
    <t>Clifford Porter</t>
  </si>
  <si>
    <t>HN</t>
  </si>
  <si>
    <t>Gerald McKellar</t>
  </si>
  <si>
    <t>Quinton "Jimmy" Cowan</t>
  </si>
  <si>
    <t>GW</t>
  </si>
  <si>
    <t>Craig Green</t>
  </si>
  <si>
    <t>Allan Stewart</t>
  </si>
  <si>
    <t/>
  </si>
  <si>
    <t>Kevin Schuler</t>
  </si>
  <si>
    <t>Arthur Hughes</t>
  </si>
  <si>
    <t>Gary Whetton</t>
  </si>
  <si>
    <t>Arnold Perry</t>
  </si>
  <si>
    <t>John Boe</t>
  </si>
  <si>
    <t>Walter Batty</t>
  </si>
  <si>
    <t>Thomas W Lynch</t>
  </si>
  <si>
    <t>Simon Mannix</t>
  </si>
  <si>
    <t>Mark Irwin</t>
  </si>
  <si>
    <t>William Wells</t>
  </si>
  <si>
    <t>Kelvin Tremain</t>
  </si>
  <si>
    <t>Patrick Crowley</t>
  </si>
  <si>
    <t>Perry Harris</t>
  </si>
  <si>
    <t>Richard Bowers</t>
  </si>
  <si>
    <t>David Stewart</t>
  </si>
  <si>
    <t>William Archie Strang</t>
  </si>
  <si>
    <t>Ronald Urlich</t>
  </si>
  <si>
    <t>John Walter</t>
  </si>
  <si>
    <t>Alexander Paterson</t>
  </si>
  <si>
    <t>Clarke Dermody</t>
  </si>
  <si>
    <t>Leslie Thomas</t>
  </si>
  <si>
    <t>Terry Wright</t>
  </si>
  <si>
    <t>Lindsay Clark</t>
  </si>
  <si>
    <t>Bernard O'Dowda</t>
  </si>
  <si>
    <t>Donald Cobden</t>
  </si>
  <si>
    <t>Sid Going</t>
  </si>
  <si>
    <t>Keith Bagley</t>
  </si>
  <si>
    <t>Desmond Connor</t>
  </si>
  <si>
    <t>Harold Pollock</t>
  </si>
  <si>
    <t>Nicohals Bradanovich</t>
  </si>
  <si>
    <t>Greg Rawlinson</t>
  </si>
  <si>
    <t>Ernest Dodd</t>
  </si>
  <si>
    <t>Graeme Higginson</t>
  </si>
  <si>
    <t>Donald Cameron</t>
  </si>
  <si>
    <t>Ioane "John" Afoa</t>
  </si>
  <si>
    <t>DA</t>
  </si>
  <si>
    <t>Graham Dowd</t>
  </si>
  <si>
    <t>Charles Smith</t>
  </si>
  <si>
    <t>Jack Skeen</t>
  </si>
  <si>
    <t>Steve Surridge</t>
  </si>
  <si>
    <t>Gary Cunningham</t>
  </si>
  <si>
    <t>John Creighton</t>
  </si>
  <si>
    <t>Pita Alatini</t>
  </si>
  <si>
    <t>Pat Lam</t>
  </si>
  <si>
    <t>Jon Preston</t>
  </si>
  <si>
    <t>James Ryan</t>
  </si>
  <si>
    <t>Duncan Robertson</t>
  </si>
  <si>
    <t>Richard "Richie" McCaw</t>
  </si>
  <si>
    <t>Caleb Ralph</t>
  </si>
  <si>
    <t>Edward Hasell</t>
  </si>
  <si>
    <t>Michael Cain</t>
  </si>
  <si>
    <t>Desmond Ashby</t>
  </si>
  <si>
    <t>Gordon Slater</t>
  </si>
  <si>
    <t>Francis Young</t>
  </si>
  <si>
    <t>Pat Walsh</t>
  </si>
  <si>
    <t>Frederick Murray</t>
  </si>
  <si>
    <t>John Dick</t>
  </si>
  <si>
    <t>James Archer</t>
  </si>
  <si>
    <t>Alwin McGregor</t>
  </si>
  <si>
    <t>Peter Johnstone</t>
  </si>
  <si>
    <t>Patrick Burns</t>
  </si>
  <si>
    <t>Ian Irvine</t>
  </si>
  <si>
    <t>William Fuller</t>
  </si>
  <si>
    <t>John Irvine</t>
  </si>
  <si>
    <t>Malcolm Dick</t>
  </si>
  <si>
    <t>Maurice Goddard</t>
  </si>
  <si>
    <t>Laurence Haig</t>
  </si>
  <si>
    <t>Paul Steinmetz</t>
  </si>
  <si>
    <t>Thomas Pauling</t>
  </si>
  <si>
    <t>Mark Carter</t>
  </si>
  <si>
    <t>Scott Cartwright</t>
  </si>
  <si>
    <t>Shayne Philpott</t>
  </si>
  <si>
    <t>Eric Cockroft</t>
  </si>
  <si>
    <t>Cyril Pepper</t>
  </si>
  <si>
    <t>Daniel "Dan" Carter</t>
  </si>
  <si>
    <t>Barry Ashworth</t>
  </si>
  <si>
    <t>Mark Shaw</t>
  </si>
  <si>
    <t>Hawea Mataira</t>
  </si>
  <si>
    <t>Michael McCool</t>
  </si>
  <si>
    <t>Desmond Christian</t>
  </si>
  <si>
    <t>Bruce Watt</t>
  </si>
  <si>
    <t>Michael Duncan</t>
  </si>
  <si>
    <t>Stephen Scott</t>
  </si>
  <si>
    <t>Robert Souter</t>
  </si>
  <si>
    <t>John McNab</t>
  </si>
  <si>
    <t>Selwyn Bremner</t>
  </si>
  <si>
    <t>David Loveridge</t>
  </si>
  <si>
    <t>John Robinson</t>
  </si>
  <si>
    <t>Edward Barry</t>
  </si>
  <si>
    <t>Terry Morrison</t>
  </si>
  <si>
    <t>Brett Wilson</t>
  </si>
  <si>
    <t>Robert O'Dea</t>
  </si>
  <si>
    <t>JS</t>
  </si>
  <si>
    <t>Philip Gard</t>
  </si>
  <si>
    <t>George Beatty</t>
  </si>
  <si>
    <t>Brian Fitzpatrick</t>
  </si>
  <si>
    <t>Neville Mitchell</t>
  </si>
  <si>
    <t>Byron Kelleher</t>
  </si>
  <si>
    <t>Raymond Dalton</t>
  </si>
  <si>
    <t>Patrick Harvey</t>
  </si>
  <si>
    <t>Kevin Stuart</t>
  </si>
  <si>
    <t>Robert Lendrum</t>
  </si>
  <si>
    <t>Charles "Luke" McAlister</t>
  </si>
  <si>
    <t>Joseph Karam</t>
  </si>
  <si>
    <t>Royce Willis</t>
  </si>
  <si>
    <t>Robert McKenzie</t>
  </si>
  <si>
    <t>George Burgess</t>
  </si>
  <si>
    <t>John Callesen</t>
  </si>
  <si>
    <t>John Goddard</t>
  </si>
  <si>
    <t>Brian Lochore</t>
  </si>
  <si>
    <t>William Osborne</t>
  </si>
  <si>
    <t>Stanley Siddells</t>
  </si>
  <si>
    <t>James Stewart</t>
  </si>
  <si>
    <t>Dennis Young</t>
  </si>
  <si>
    <t>Maurice McHugh</t>
  </si>
  <si>
    <t>John Schuster</t>
  </si>
  <si>
    <t>Ronald King</t>
  </si>
  <si>
    <t>Robert Mathieson</t>
  </si>
  <si>
    <t>Tu Wyllie</t>
  </si>
  <si>
    <t>Albert Anderson</t>
  </si>
  <si>
    <t>Taine Randell</t>
  </si>
  <si>
    <t>Harold Hayward</t>
  </si>
  <si>
    <t>Alfred Eckhold</t>
  </si>
  <si>
    <t>George Purdue</t>
  </si>
  <si>
    <t>Christopher Fawcett</t>
  </si>
  <si>
    <t>Teddy Roberts</t>
  </si>
  <si>
    <t>John Timu</t>
  </si>
  <si>
    <t>James Barrett</t>
  </si>
  <si>
    <t>Robbie McLean</t>
  </si>
  <si>
    <t>William Birtwistle</t>
  </si>
  <si>
    <t>Kenneth Stewart</t>
  </si>
  <si>
    <t>Handley Brown</t>
  </si>
  <si>
    <t>Nelson Ball</t>
  </si>
  <si>
    <t>William Duncan</t>
  </si>
  <si>
    <t>Greg Feek</t>
  </si>
  <si>
    <t>James Watson</t>
  </si>
  <si>
    <t>Robbie Deans</t>
  </si>
  <si>
    <t>Brian Muller</t>
  </si>
  <si>
    <t>Wilson Whineray</t>
  </si>
  <si>
    <t>Alistair Scown</t>
  </si>
  <si>
    <t>Murray Wills</t>
  </si>
  <si>
    <t>Howard Levien</t>
  </si>
  <si>
    <t>Terence McCashin</t>
  </si>
  <si>
    <t>Hector Wilson</t>
  </si>
  <si>
    <t>Roy Roper</t>
  </si>
  <si>
    <t>Edmond Ryan</t>
  </si>
  <si>
    <t>Henry Taylor</t>
  </si>
  <si>
    <t>Regan King</t>
  </si>
  <si>
    <t>Oliver Bruce</t>
  </si>
  <si>
    <t>Greg Burgess</t>
  </si>
  <si>
    <t>Aran Pene</t>
  </si>
  <si>
    <t>George Tyler</t>
  </si>
  <si>
    <t>Louis Petersen</t>
  </si>
  <si>
    <t>Todd Blackadder</t>
  </si>
  <si>
    <t>Kurt Sherlock</t>
  </si>
  <si>
    <t>Douglas Wilson</t>
  </si>
  <si>
    <t>David Gage</t>
  </si>
  <si>
    <t>James Tilyard</t>
  </si>
  <si>
    <t>Robert Wilson</t>
  </si>
  <si>
    <t>John Stringfellow</t>
  </si>
  <si>
    <t>Waka Nathan</t>
  </si>
  <si>
    <t>Murray Pierce</t>
  </si>
  <si>
    <t>FG</t>
  </si>
  <si>
    <t>Donald Max</t>
  </si>
  <si>
    <t>George Dalzell</t>
  </si>
  <si>
    <t>Lee Stensness</t>
  </si>
  <si>
    <t>William Conrad</t>
  </si>
  <si>
    <t>Edward Purdue</t>
  </si>
  <si>
    <t>Benjamin "Ben" Atiga</t>
  </si>
  <si>
    <t>Alan Blake</t>
  </si>
  <si>
    <t>William Cunningham</t>
  </si>
  <si>
    <t>Graeme Bachop</t>
  </si>
  <si>
    <t>Norman Taylor</t>
  </si>
  <si>
    <t>Edward Ward</t>
  </si>
  <si>
    <t>Ross Parkinson</t>
  </si>
  <si>
    <t>John Steel</t>
  </si>
  <si>
    <t>Robin Masters</t>
  </si>
  <si>
    <t>Sydney Carleton</t>
  </si>
  <si>
    <t>Thomas Lister</t>
  </si>
  <si>
    <t>Grant Batty</t>
  </si>
  <si>
    <t>Ofisa Tonu'u</t>
  </si>
  <si>
    <t>Frederick Vorrath</t>
  </si>
  <si>
    <t>Edward Dunn</t>
  </si>
  <si>
    <t>Alan Sutherland</t>
  </si>
  <si>
    <t>Andy Jerrerd</t>
  </si>
  <si>
    <t>Ian Clarke</t>
  </si>
  <si>
    <t>Leonard Stohr</t>
  </si>
  <si>
    <t>Reuben Cooke</t>
  </si>
  <si>
    <t>John Major</t>
  </si>
  <si>
    <t>Daniel Lee</t>
  </si>
  <si>
    <t>Michael Speight</t>
  </si>
  <si>
    <t>Raymond Williams</t>
  </si>
  <si>
    <t>Barry Thomas</t>
  </si>
  <si>
    <t>George Humphreys</t>
  </si>
  <si>
    <t>Keith Murdoch</t>
  </si>
  <si>
    <t>Ashley McGregor</t>
  </si>
  <si>
    <t>Marty Holah</t>
  </si>
  <si>
    <t>Vivian Wilson</t>
  </si>
  <si>
    <t>John Fleming</t>
  </si>
  <si>
    <t>Alfred Waterman</t>
  </si>
  <si>
    <t>Robin Brooke</t>
  </si>
  <si>
    <t>Con Barrell</t>
  </si>
  <si>
    <t>Richard Loe</t>
  </si>
  <si>
    <t>Francis Ward</t>
  </si>
  <si>
    <t>George Helmore</t>
  </si>
  <si>
    <t>William Glenn</t>
  </si>
  <si>
    <t>Raymond McMullen</t>
  </si>
  <si>
    <t>Thomas Fisher</t>
  </si>
  <si>
    <t>John Buxton</t>
  </si>
  <si>
    <t>William Wright</t>
  </si>
  <si>
    <t>Johnstone Richardson</t>
  </si>
  <si>
    <t>John Black</t>
  </si>
  <si>
    <t>James O'Donnell</t>
  </si>
  <si>
    <t>Christian Cullen</t>
  </si>
  <si>
    <t>Herbert Lilburne</t>
  </si>
  <si>
    <t>Nicky Allen</t>
  </si>
  <si>
    <t>Warwick Taylor</t>
  </si>
  <si>
    <t>David Hill</t>
  </si>
  <si>
    <t>Ian Hurst</t>
  </si>
  <si>
    <t>Thomas Metcalfe</t>
  </si>
  <si>
    <t>Robert Sinclair</t>
  </si>
  <si>
    <t>Ross Filipo</t>
  </si>
  <si>
    <t>James Burrows</t>
  </si>
  <si>
    <t>Kenneth Elliott</t>
  </si>
  <si>
    <t>Andrew Leslie</t>
  </si>
  <si>
    <t>John Kelly</t>
  </si>
  <si>
    <t>Bob Deans</t>
  </si>
  <si>
    <t>Peter Whiting</t>
  </si>
  <si>
    <t>Edward Steere</t>
  </si>
  <si>
    <t>Ronald Ward</t>
  </si>
  <si>
    <t>Billy Wallace</t>
  </si>
  <si>
    <t>William Geddes</t>
  </si>
  <si>
    <t>Alasdair McNicol</t>
  </si>
  <si>
    <t>Adrian Clarke</t>
  </si>
  <si>
    <t>Graham Purvis</t>
  </si>
  <si>
    <t>Herman Mattson</t>
  </si>
  <si>
    <t>William Hadley</t>
  </si>
  <si>
    <t>Arthur Francis</t>
  </si>
  <si>
    <t>Nathaniel Wilson</t>
  </si>
  <si>
    <t>William Reedy</t>
  </si>
  <si>
    <t>Frank Glasgow</t>
  </si>
  <si>
    <t>Barry Eastgate</t>
  </si>
  <si>
    <t>Peter Williams</t>
  </si>
  <si>
    <t>Bradley Johnstone</t>
  </si>
  <si>
    <t>Gordon P Lawson</t>
  </si>
  <si>
    <t>Daniel Hughes</t>
  </si>
  <si>
    <t>Brian McKechnie</t>
  </si>
  <si>
    <t>Inga Tuigamala</t>
  </si>
  <si>
    <t>Andrew Ellis</t>
  </si>
  <si>
    <t>Samuel Cockroft</t>
  </si>
  <si>
    <t>Neil Purvis</t>
  </si>
  <si>
    <t>Gary Knight</t>
  </si>
  <si>
    <t>Frank Bunce</t>
  </si>
  <si>
    <t>Ian Stevens</t>
  </si>
  <si>
    <t>Ross Smith</t>
  </si>
  <si>
    <t>Joeli Vidiri</t>
  </si>
  <si>
    <t>Alex Wyllie</t>
  </si>
  <si>
    <t>Donald Macpherson</t>
  </si>
  <si>
    <t>John Blair</t>
  </si>
  <si>
    <t>Alexander McDonald</t>
  </si>
  <si>
    <t>Trevor Berghan</t>
  </si>
  <si>
    <t>Alexander "Ali" Williams</t>
  </si>
  <si>
    <t>Robert Burgess</t>
  </si>
  <si>
    <t>William Mumm</t>
  </si>
  <si>
    <t>Ron Cribb</t>
  </si>
  <si>
    <t>Kenneth Granger</t>
  </si>
  <si>
    <t>Arthur Jennings</t>
  </si>
  <si>
    <t>Alan Good</t>
  </si>
  <si>
    <t>Mark D. Robinson</t>
  </si>
  <si>
    <t>John O'Brien</t>
  </si>
  <si>
    <t>Hika Reid</t>
  </si>
  <si>
    <t>Laurence Savage</t>
  </si>
  <si>
    <t>John Spiers</t>
  </si>
  <si>
    <t>Eric Harper</t>
  </si>
  <si>
    <t>Shane Howarth</t>
  </si>
  <si>
    <t>Scott Hamilton</t>
  </si>
  <si>
    <t>Robert Black</t>
  </si>
  <si>
    <t>James Kearney</t>
  </si>
  <si>
    <t>William Cummings</t>
  </si>
  <si>
    <t>Ben Blair</t>
  </si>
  <si>
    <t>Graeme Crossman</t>
  </si>
  <si>
    <t>James O'Sullivan</t>
  </si>
  <si>
    <t>Robert Kururangi</t>
  </si>
  <si>
    <t>Henry Butland</t>
  </si>
  <si>
    <t>Harry Porteous</t>
  </si>
  <si>
    <t>George Hart</t>
  </si>
  <si>
    <t>Kevin Laidlaw</t>
  </si>
  <si>
    <t>Francis Oliver</t>
  </si>
  <si>
    <t>Frederick Roberts</t>
  </si>
  <si>
    <t>Hugh Mills</t>
  </si>
  <si>
    <t>George A. Gillett</t>
  </si>
  <si>
    <t>Lester Harvey</t>
  </si>
  <si>
    <t>Robert Handcock</t>
  </si>
  <si>
    <t>William Meates</t>
  </si>
  <si>
    <t>Paul Markham</t>
  </si>
  <si>
    <t>William Hay-MacKenzie</t>
  </si>
  <si>
    <t>Bernard Smyth</t>
  </si>
  <si>
    <t>Stanley Willoughby</t>
  </si>
  <si>
    <t>Mike Brewer (rugby player)</t>
  </si>
  <si>
    <t>Stanley Hill</t>
  </si>
  <si>
    <t>Tony Brown</t>
  </si>
  <si>
    <t>Arthur Knight</t>
  </si>
  <si>
    <t>George Mehrtens</t>
  </si>
  <si>
    <t>Bruce Hemara</t>
  </si>
  <si>
    <t>Frederick Given</t>
  </si>
  <si>
    <t>Duncan McGregor</t>
  </si>
  <si>
    <t>William Elvy</t>
  </si>
  <si>
    <t>Bernie McCahill</t>
  </si>
  <si>
    <t>Hugh Good</t>
  </si>
  <si>
    <t>Cecil Badeley</t>
  </si>
  <si>
    <t>Ian Uttley</t>
  </si>
  <si>
    <t>Lyndon Davis</t>
  </si>
  <si>
    <t>Francis Kilby</t>
  </si>
  <si>
    <t>John Dunn</t>
  </si>
  <si>
    <t>William Hardcastle</t>
  </si>
  <si>
    <t>William Balch</t>
  </si>
  <si>
    <t>Keith Reid</t>
  </si>
  <si>
    <t>KR</t>
  </si>
  <si>
    <t>Bob Duff</t>
  </si>
  <si>
    <t>George Spencer</t>
  </si>
  <si>
    <t>Charles Fletcher</t>
  </si>
  <si>
    <t>Ian Smith</t>
  </si>
  <si>
    <t>Arthur Lambourn</t>
  </si>
  <si>
    <t>Anton Oliver</t>
  </si>
  <si>
    <t>William Collins</t>
  </si>
  <si>
    <t>Peter Johns</t>
  </si>
  <si>
    <t>George Dickinson</t>
  </si>
  <si>
    <t>Geoffrey Thomas Alley</t>
  </si>
  <si>
    <t>Jeff Wilson</t>
  </si>
  <si>
    <t>Frank Solomon</t>
  </si>
  <si>
    <t>Peter Jones</t>
  </si>
  <si>
    <t>Dylan Mika</t>
  </si>
  <si>
    <t>Sitiveni Sivivatu</t>
  </si>
  <si>
    <t>Bertram Grenside</t>
  </si>
  <si>
    <t>David McMeeking</t>
  </si>
  <si>
    <t>Alexander Pringle</t>
  </si>
  <si>
    <t>Alfred Kivell</t>
  </si>
  <si>
    <t>William Mitchell</t>
  </si>
  <si>
    <t>Bertram Palmer</t>
  </si>
  <si>
    <t>Bryce Robins</t>
  </si>
  <si>
    <t>John Corbett</t>
  </si>
  <si>
    <t>Kawhena Woodman</t>
  </si>
  <si>
    <t>James Mackay</t>
  </si>
  <si>
    <t>Ronald Elvidge</t>
  </si>
  <si>
    <t>John Simpson</t>
  </si>
  <si>
    <t>James Russell Watt</t>
  </si>
  <si>
    <t>Phillippe Cabot</t>
  </si>
  <si>
    <t>Mark Ranby</t>
  </si>
  <si>
    <t>Ernest Glennie</t>
  </si>
  <si>
    <t>Ron Horsley</t>
  </si>
  <si>
    <t>Angus Macdonald</t>
  </si>
  <si>
    <t>Edgar Stapleton</t>
  </si>
  <si>
    <t>George Nepia</t>
  </si>
  <si>
    <t>Keith Davis</t>
  </si>
  <si>
    <t>Murray Watts</t>
  </si>
  <si>
    <t>Mark Mayerhofler</t>
  </si>
  <si>
    <t>John Ashworth</t>
  </si>
  <si>
    <t>Corey Flynn</t>
  </si>
  <si>
    <t>Jock Ross</t>
  </si>
  <si>
    <t>Chris Tregaskis</t>
  </si>
  <si>
    <t>Liam Barry</t>
  </si>
  <si>
    <t>Harold Abbott</t>
  </si>
  <si>
    <t>John McLean</t>
  </si>
  <si>
    <t>Zinzan Brooke</t>
  </si>
  <si>
    <t>z</t>
  </si>
  <si>
    <t>Rex Orr</t>
  </si>
  <si>
    <t>David Lindsay</t>
  </si>
  <si>
    <t>Richard Roberts</t>
  </si>
  <si>
    <t>Leonard Righton</t>
  </si>
  <si>
    <t>Alexander Armit</t>
  </si>
  <si>
    <t>Brian Morrissey</t>
  </si>
  <si>
    <t>Allan Parkhill</t>
  </si>
  <si>
    <t>William David Gillespie</t>
  </si>
  <si>
    <t>Albert Procter</t>
  </si>
  <si>
    <t>Carl Hoeft</t>
  </si>
  <si>
    <t>Neil Wolfe</t>
  </si>
  <si>
    <t>Hart Udy</t>
  </si>
  <si>
    <t>Michael O'Callaghan</t>
  </si>
  <si>
    <t>Gregory Rowlands</t>
  </si>
  <si>
    <t>Geoff Old</t>
  </si>
  <si>
    <t>Allan Hewson</t>
  </si>
  <si>
    <t>Scott Robertson</t>
  </si>
  <si>
    <t>Kevin Boroevich</t>
  </si>
  <si>
    <t>Daniel Udy</t>
  </si>
  <si>
    <t>Milford Page</t>
  </si>
  <si>
    <t>Henry Braddon</t>
  </si>
  <si>
    <t>Patrick McCarthy</t>
  </si>
  <si>
    <t>Richard Turner</t>
  </si>
  <si>
    <t>Eric Leys</t>
  </si>
  <si>
    <t>John Hooper</t>
  </si>
  <si>
    <t>William McClymont</t>
  </si>
  <si>
    <t>Roderick Gray</t>
  </si>
  <si>
    <t>Desmond O'Donnell</t>
  </si>
  <si>
    <t>John Collins</t>
  </si>
  <si>
    <t>Tony Woodcock</t>
  </si>
  <si>
    <t>Paul Simonsson</t>
  </si>
  <si>
    <t>Ivan Vodanovich</t>
  </si>
  <si>
    <t>Charles Brown</t>
  </si>
  <si>
    <t>Frederick Tilyard</t>
  </si>
  <si>
    <t>Ruben McWilliams</t>
  </si>
  <si>
    <t>Alan Wright</t>
  </si>
  <si>
    <t>James Watt</t>
  </si>
  <si>
    <t>Rob Gordon</t>
  </si>
  <si>
    <t>Lynley Weston</t>
  </si>
  <si>
    <t>Aaron Mauger</t>
  </si>
  <si>
    <t>Fred Woodman</t>
  </si>
  <si>
    <t>David Mason</t>
  </si>
  <si>
    <t>Henry Kiernan</t>
  </si>
  <si>
    <t>Sosene Anesi</t>
  </si>
  <si>
    <t>Wayne Smith</t>
  </si>
  <si>
    <t>Hallard White</t>
  </si>
  <si>
    <t>Henare Milner</t>
  </si>
  <si>
    <t>Richard Myers</t>
  </si>
  <si>
    <t>Stan Meads</t>
  </si>
  <si>
    <t>Patrick Ryan</t>
  </si>
  <si>
    <t>Alexander Ridland</t>
  </si>
  <si>
    <t>Ken Taylor</t>
  </si>
  <si>
    <t>Robert Oliphant</t>
  </si>
  <si>
    <t>Bruce Reihana</t>
  </si>
  <si>
    <t>Tony Davies</t>
  </si>
  <si>
    <t>John Drake</t>
  </si>
  <si>
    <t>Aaron Hopa</t>
  </si>
  <si>
    <t>Charles Arthur Woods</t>
  </si>
  <si>
    <t>Wayne Graham</t>
  </si>
  <si>
    <t>Jason Eaton</t>
  </si>
  <si>
    <t>Gordon Macpherson</t>
  </si>
  <si>
    <t>James Maguire</t>
  </si>
  <si>
    <t>Eric Tindill</t>
  </si>
  <si>
    <t>Kevin Barry</t>
  </si>
  <si>
    <t>William Watson</t>
  </si>
  <si>
    <t>Matthew Ridge</t>
  </si>
  <si>
    <t>Douglas Dalton</t>
  </si>
  <si>
    <t>Saimone Taumoepeau</t>
  </si>
  <si>
    <t>Arthur Collins</t>
  </si>
  <si>
    <t>Maurice Cockerill</t>
  </si>
  <si>
    <t>Colin Gillies</t>
  </si>
  <si>
    <t>James Hendrie</t>
  </si>
  <si>
    <t>James Howden</t>
  </si>
  <si>
    <t>Alfred Bayly</t>
  </si>
  <si>
    <t>John Macky</t>
  </si>
  <si>
    <t>Herbert Sapsford</t>
  </si>
  <si>
    <t>William Johnston</t>
  </si>
  <si>
    <t>Charles Gillespie</t>
  </si>
  <si>
    <t>Kenneth Svenson</t>
  </si>
  <si>
    <t>Peter Sloane</t>
  </si>
  <si>
    <t>Robert Scott</t>
  </si>
  <si>
    <t>Ma'a Nonu</t>
  </si>
  <si>
    <t>Blair Larsen</t>
  </si>
  <si>
    <t>Hud Rickit</t>
  </si>
  <si>
    <t>Laurie Mains</t>
  </si>
  <si>
    <t>David Kirk</t>
  </si>
  <si>
    <t>Simon Culhane</t>
  </si>
  <si>
    <t>Kieran Crowley</t>
  </si>
  <si>
    <t>Vance Stewart</t>
  </si>
  <si>
    <t>Ant Strachan</t>
  </si>
  <si>
    <t>Kenneth Going</t>
  </si>
  <si>
    <t>Victor Butler</t>
  </si>
  <si>
    <t>Hubert Turtill</t>
  </si>
  <si>
    <t>Charles Purdue</t>
  </si>
  <si>
    <t>Murray Mexted</t>
  </si>
  <si>
    <t>Mose Tuiali'i</t>
  </si>
  <si>
    <t>Tim Twigden</t>
  </si>
  <si>
    <t>Phillip Clarke</t>
  </si>
  <si>
    <t>John Hore</t>
  </si>
  <si>
    <t>James Fitzgerald</t>
  </si>
  <si>
    <t>Thomas Maling</t>
  </si>
  <si>
    <t>Eric Rush</t>
  </si>
  <si>
    <t>Timothy O'Connor</t>
  </si>
  <si>
    <t>Lui Paewai</t>
  </si>
  <si>
    <t>Lawrence Knight</t>
  </si>
  <si>
    <t>William Irvine</t>
  </si>
  <si>
    <t>William Currey</t>
  </si>
  <si>
    <t>William McKenzie</t>
  </si>
  <si>
    <t>Murray Davie</t>
  </si>
  <si>
    <t>Brian Molloy</t>
  </si>
  <si>
    <t>James McNeece</t>
  </si>
  <si>
    <t>Harold Simon</t>
  </si>
  <si>
    <t>Filo Tiatia</t>
  </si>
  <si>
    <t>Tabai Matson</t>
  </si>
  <si>
    <t>Raymond Moreton</t>
  </si>
  <si>
    <t>Mark Cooksley</t>
  </si>
  <si>
    <t>Anthony Kreft</t>
  </si>
  <si>
    <t>Stephen Bachop</t>
  </si>
  <si>
    <t>Frank Fryer</t>
  </si>
  <si>
    <t>Ian Harvey</t>
  </si>
  <si>
    <t>Alan Reid</t>
  </si>
  <si>
    <t>John Mills</t>
  </si>
  <si>
    <t>Ian MacRae</t>
  </si>
  <si>
    <t>William Robin Archer</t>
  </si>
  <si>
    <t>Neville Black</t>
  </si>
  <si>
    <t>George Carter</t>
  </si>
  <si>
    <t>John Geddes</t>
  </si>
  <si>
    <t>Eric Boggs</t>
  </si>
  <si>
    <t>Augustine P Spillane</t>
  </si>
  <si>
    <t>Kieran Keane</t>
  </si>
  <si>
    <t>Joseph Calnan</t>
  </si>
  <si>
    <t>David Evans</t>
  </si>
  <si>
    <t>Jack Harris</t>
  </si>
  <si>
    <t>David Johnston</t>
  </si>
  <si>
    <t>Paul McGahan</t>
  </si>
  <si>
    <t>Francis McAtamney</t>
  </si>
  <si>
    <t>John Dumbell</t>
  </si>
  <si>
    <t>Dallas Seymour</t>
  </si>
  <si>
    <t>Allan Elsom</t>
  </si>
  <si>
    <t>Peter Burke</t>
  </si>
  <si>
    <t>James Wynyard</t>
  </si>
  <si>
    <t>Harold Nicholls</t>
  </si>
  <si>
    <t>Lewis Allen</t>
  </si>
  <si>
    <t>Henry Brown</t>
  </si>
  <si>
    <t>William Dalley</t>
  </si>
  <si>
    <t>Charles Saxton</t>
  </si>
  <si>
    <t>Keven Mealamu</t>
  </si>
  <si>
    <t>Brendon Leonard</t>
  </si>
  <si>
    <t>Archibald McCormick</t>
  </si>
  <si>
    <t>Bernard Fanning</t>
  </si>
  <si>
    <t>Alfred West</t>
  </si>
  <si>
    <t>Sydney Shearer</t>
  </si>
  <si>
    <t>Hugh Burry</t>
  </si>
  <si>
    <t>Llewellyn Hook</t>
  </si>
  <si>
    <t>Manuera Couch</t>
  </si>
  <si>
    <t>Colin Farrell</t>
  </si>
  <si>
    <t>James Douglas</t>
  </si>
  <si>
    <t>Anthony Cottrell</t>
  </si>
  <si>
    <t>Trevor Morris</t>
  </si>
  <si>
    <t>Neemia Tialata</t>
  </si>
  <si>
    <t>Hector Thomson</t>
  </si>
  <si>
    <t>Eroni Clarke</t>
  </si>
  <si>
    <t>Ross Brown</t>
  </si>
  <si>
    <t>Ronald Bryers</t>
  </si>
  <si>
    <t>Billy Stead</t>
  </si>
  <si>
    <t>Walter Drake</t>
  </si>
  <si>
    <t>Michael Jones</t>
  </si>
  <si>
    <t>Alister Hopkinson</t>
  </si>
  <si>
    <t>Justin Marshall</t>
  </si>
  <si>
    <t>John Burt</t>
  </si>
  <si>
    <t>Jack Ormond</t>
  </si>
  <si>
    <t>Ernest Booth</t>
  </si>
  <si>
    <t>Donald Clark</t>
  </si>
  <si>
    <t>James Wylie</t>
  </si>
  <si>
    <t>Archibald McMinn</t>
  </si>
  <si>
    <t>Kevin Greene</t>
  </si>
  <si>
    <t>Francis Jervis</t>
  </si>
  <si>
    <t>Kevin Senio</t>
  </si>
  <si>
    <t>Bernard Sadler</t>
  </si>
  <si>
    <t>Sana Reid</t>
  </si>
  <si>
    <t>Alfred Cooke</t>
  </si>
  <si>
    <t>Patrick Vincent</t>
  </si>
  <si>
    <t>Stuart Conn</t>
  </si>
  <si>
    <t>Bevan Holmes</t>
  </si>
  <si>
    <t>Kevin Meates</t>
  </si>
  <si>
    <t>Albert Downing</t>
  </si>
  <si>
    <t>Campbell Johnstone</t>
  </si>
  <si>
    <t>Harry Frazer</t>
  </si>
  <si>
    <t>Robert McGregor</t>
  </si>
  <si>
    <t>Evan Jessep</t>
  </si>
  <si>
    <t>Charles Rushbrook</t>
  </si>
  <si>
    <t>Kerry Tanner</t>
  </si>
  <si>
    <t>Alan McNaughton</t>
  </si>
  <si>
    <t>Phil Coffin</t>
  </si>
  <si>
    <t>Thomas Corkill</t>
  </si>
  <si>
    <t>William Mackrell</t>
  </si>
  <si>
    <t>James Allan</t>
  </si>
  <si>
    <t>Henry Wilson</t>
  </si>
  <si>
    <t>Harry Nicholls</t>
  </si>
  <si>
    <t>Charles Riechelmann</t>
  </si>
  <si>
    <t>Atholstan Mahoney</t>
  </si>
  <si>
    <t>John Colman</t>
  </si>
  <si>
    <t>Kent Lambert</t>
  </si>
  <si>
    <t>John Loveday</t>
  </si>
  <si>
    <t>Hoeroa Tiopira</t>
  </si>
  <si>
    <t>Steven Bates</t>
  </si>
  <si>
    <t>Gary Braid</t>
  </si>
  <si>
    <t>Greg Cooper</t>
  </si>
  <si>
    <t>Jamie Salmon</t>
  </si>
  <si>
    <t>Christopher "Chris" Jack</t>
  </si>
  <si>
    <t>George William Smith</t>
  </si>
  <si>
    <t>Graham Williams</t>
  </si>
  <si>
    <t>Wayne Cottrell</t>
  </si>
  <si>
    <t>Craig Newby</t>
  </si>
  <si>
    <t>John Stalker</t>
  </si>
  <si>
    <t>Ronald T Stewart</t>
  </si>
  <si>
    <t>Jock Hobbs</t>
  </si>
  <si>
    <t>Junior "Mils" Muliaina</t>
  </si>
  <si>
    <t>William Gray</t>
  </si>
  <si>
    <t>Roderick McKenzie</t>
  </si>
  <si>
    <t>John Hotop</t>
  </si>
  <si>
    <t>Ian Bruce Deans</t>
  </si>
  <si>
    <t>Richard James Conway</t>
  </si>
  <si>
    <t>Ian Dunn</t>
  </si>
  <si>
    <t>James Baird</t>
  </si>
  <si>
    <t>Percy Hickey</t>
  </si>
  <si>
    <t>Derek Arnold</t>
  </si>
  <si>
    <t>George Skudder</t>
  </si>
  <si>
    <t>Graham Gilbert</t>
  </si>
  <si>
    <t>Hohepa Jacob</t>
  </si>
  <si>
    <t>Everard Jackson</t>
  </si>
  <si>
    <t>Robert Stuart</t>
  </si>
  <si>
    <t>Kenneth Carrington</t>
  </si>
  <si>
    <t>John Cuthill</t>
  </si>
  <si>
    <t>John McCollough</t>
  </si>
  <si>
    <t>Terence Lineen</t>
  </si>
  <si>
    <t>Brian Finlay</t>
  </si>
  <si>
    <t>Jimmy Hunter</t>
  </si>
  <si>
    <t>George Robertson</t>
  </si>
  <si>
    <t>Adrian Cashmore</t>
  </si>
  <si>
    <t>Wiremu Heke</t>
  </si>
  <si>
    <t>Peter Morrissey</t>
  </si>
  <si>
    <t>Noel Bowden</t>
  </si>
  <si>
    <t>Richard Fromont</t>
  </si>
  <si>
    <t>Walter Argus</t>
  </si>
  <si>
    <t>James Lambie</t>
  </si>
  <si>
    <t>John Kirwan</t>
  </si>
  <si>
    <t>Victor Badeley</t>
  </si>
  <si>
    <t>John Tanner</t>
  </si>
  <si>
    <t>Brian Killeen</t>
  </si>
  <si>
    <t>Henry Munro</t>
  </si>
  <si>
    <t>Robert Tunnicliff</t>
  </si>
  <si>
    <t>Alistair Soper</t>
  </si>
  <si>
    <t>Graham Delamore</t>
  </si>
  <si>
    <t>Reginald Bell</t>
  </si>
  <si>
    <t>Samuel Strahan</t>
  </si>
  <si>
    <t>Norm Maxwell</t>
  </si>
  <si>
    <t>Doug Howlett</t>
  </si>
  <si>
    <t>Michael Williment</t>
  </si>
  <si>
    <t>Paul Koteka</t>
  </si>
  <si>
    <t>Steve Gordon</t>
  </si>
  <si>
    <t>Donald Wright</t>
  </si>
  <si>
    <t>Alexander Kirkpatrick</t>
  </si>
  <si>
    <t>Warren Gatland</t>
  </si>
  <si>
    <t>Roger Urbahn</t>
  </si>
  <si>
    <t>George Maber</t>
  </si>
  <si>
    <t>John Lecky‎</t>
  </si>
  <si>
    <t>Frank Mitchinson</t>
  </si>
  <si>
    <t>Conrad Smith</t>
  </si>
  <si>
    <t>Alexander Williams</t>
  </si>
  <si>
    <t>Gordon Innes</t>
  </si>
  <si>
    <t>William Clark</t>
  </si>
  <si>
    <t>William Phillips</t>
  </si>
  <si>
    <t>Keith Robinson</t>
  </si>
  <si>
    <t>Ron Jarden</t>
  </si>
  <si>
    <t>Colin Meads</t>
  </si>
  <si>
    <t>Ian Jones</t>
  </si>
  <si>
    <t>Neil Thimbleby</t>
  </si>
  <si>
    <t>Ronald Bush</t>
  </si>
  <si>
    <t>Bruce Hunter</t>
  </si>
  <si>
    <t>Don Clarke</t>
  </si>
  <si>
    <t>Ionatana "Tana" Umaga</t>
  </si>
  <si>
    <t>Geoff Hines</t>
  </si>
  <si>
    <t>Ronald Dobson</t>
  </si>
  <si>
    <t>James Mill</t>
  </si>
  <si>
    <t>Sam Tuitupou</t>
  </si>
  <si>
    <t>Xavier Rush</t>
  </si>
  <si>
    <t>Scott McLeod</t>
  </si>
  <si>
    <t>William Francis</t>
  </si>
  <si>
    <t>Victor George</t>
  </si>
  <si>
    <t>Francis Clark</t>
  </si>
  <si>
    <t>Colin Loader</t>
  </si>
  <si>
    <t>William Hazlett</t>
  </si>
  <si>
    <t>Alfred Wilson</t>
  </si>
  <si>
    <t>Mark Sayers</t>
  </si>
  <si>
    <t>Richard McKenzie</t>
  </si>
  <si>
    <t>Stewart Cron</t>
  </si>
  <si>
    <t>Jack Brownlie</t>
  </si>
  <si>
    <t>Doanld Stevenson</t>
  </si>
  <si>
    <t>Charles Kingstone</t>
  </si>
  <si>
    <t>Gregory Kane</t>
  </si>
  <si>
    <t>William Bush</t>
  </si>
  <si>
    <t>James Donald</t>
  </si>
  <si>
    <t>Alan Smith</t>
  </si>
  <si>
    <t>Des Webb</t>
  </si>
  <si>
    <t>John Burns</t>
  </si>
  <si>
    <t>Jeffrey Matheson</t>
  </si>
  <si>
    <t>Brent Anderson</t>
  </si>
  <si>
    <t>Roger Randle</t>
  </si>
  <si>
    <t>Isaia Toeava</t>
  </si>
  <si>
    <t>Peter Henderson</t>
  </si>
  <si>
    <t>Harold Milliken</t>
  </si>
  <si>
    <t>Walter Pringle</t>
  </si>
  <si>
    <t>Leo Connolly</t>
  </si>
  <si>
    <t>William Millton</t>
  </si>
  <si>
    <t>Hamish Macdonald</t>
  </si>
  <si>
    <t>Ian MacEwan</t>
  </si>
  <si>
    <t>Jonah Lomu</t>
  </si>
  <si>
    <t>Leonard Brake</t>
  </si>
  <si>
    <t>Edward Stokes</t>
  </si>
  <si>
    <t>Walter Bayly</t>
  </si>
  <si>
    <t>Harold Murray</t>
  </si>
  <si>
    <t>Peter Smith</t>
  </si>
  <si>
    <t>Eric Anderson</t>
  </si>
  <si>
    <t>Alphonsus Carroll</t>
  </si>
  <si>
    <t>Kevin Eveleigh</t>
  </si>
  <si>
    <t>Norman Wilson</t>
  </si>
  <si>
    <t>Peter Murray</t>
  </si>
  <si>
    <t>Charles Speight</t>
  </si>
  <si>
    <t>Victor Yates</t>
  </si>
  <si>
    <t>Craig Wickes</t>
  </si>
  <si>
    <t>William Harris</t>
  </si>
  <si>
    <t>Thomas O'Callaghan</t>
  </si>
  <si>
    <t>Mark Hammett</t>
  </si>
  <si>
    <t>William Lindsay</t>
  </si>
  <si>
    <t>Andrew McLean</t>
  </si>
  <si>
    <t>Joe Warbrick</t>
  </si>
  <si>
    <t>Jack Finlay</t>
  </si>
  <si>
    <t>Jamie Joseph</t>
  </si>
  <si>
    <t>David Wightman</t>
  </si>
  <si>
    <t>Thomas Lynch</t>
  </si>
  <si>
    <t>John Mitchell</t>
  </si>
  <si>
    <t>Earle Kirton</t>
  </si>
  <si>
    <t>Maurice Dixon</t>
  </si>
  <si>
    <t>Colin Gilray</t>
  </si>
  <si>
    <t>Thomas Webster</t>
  </si>
  <si>
    <t>Adam Armstrong</t>
  </si>
  <si>
    <t>Thomas Sheen</t>
  </si>
  <si>
    <t>Stephen Casey</t>
  </si>
  <si>
    <t>Mervyn Corner</t>
  </si>
  <si>
    <t>Evelyn Catley</t>
  </si>
  <si>
    <t>George Aitken</t>
  </si>
  <si>
    <t>William Roberts</t>
  </si>
  <si>
    <t>Roger Boon</t>
  </si>
  <si>
    <t>Andy Haden</t>
  </si>
  <si>
    <t>John Schwalger</t>
  </si>
  <si>
    <t>Frederick Masters</t>
  </si>
  <si>
    <t>Maurice Herrold</t>
  </si>
  <si>
    <t>Alfred Fanning</t>
  </si>
  <si>
    <t>David Hewett</t>
  </si>
  <si>
    <t>Denis Cameron</t>
  </si>
  <si>
    <t>Ian Eliason</t>
  </si>
  <si>
    <t>Arthur Lomas</t>
  </si>
  <si>
    <t>Paul Miller</t>
  </si>
  <si>
    <t>Leon MacDonald</t>
  </si>
  <si>
    <t>Neil McGregor</t>
  </si>
  <si>
    <t>Glen Osborne</t>
  </si>
  <si>
    <t>A. J. Whetton</t>
  </si>
  <si>
    <t>David Dickson</t>
  </si>
  <si>
    <t>Greg Somerville</t>
  </si>
  <si>
    <t>Lachlan Grant</t>
  </si>
  <si>
    <t>Raymond Cossey</t>
  </si>
  <si>
    <t>Marty Berry</t>
  </si>
  <si>
    <t>Bull Allen</t>
  </si>
  <si>
    <t>Waate Potaka</t>
  </si>
  <si>
    <t>Michael O'Leary</t>
  </si>
  <si>
    <t>Stephen Devine</t>
  </si>
  <si>
    <t>John McEldowney</t>
  </si>
  <si>
    <t>Arthur Holden</t>
  </si>
  <si>
    <t>Henry Dewar</t>
  </si>
  <si>
    <t>Herman Morgan</t>
  </si>
  <si>
    <t>Norm Berryman</t>
  </si>
  <si>
    <t>James Page</t>
  </si>
  <si>
    <t>Morris Wood</t>
  </si>
  <si>
    <t>Marc Ellis</t>
  </si>
  <si>
    <t>Lindsay Townsend</t>
  </si>
  <si>
    <t>Walter Little</t>
  </si>
  <si>
    <t>Brett Harvey</t>
  </si>
  <si>
    <t>Ernest Pickering</t>
  </si>
  <si>
    <t>Thomas Willis</t>
  </si>
  <si>
    <t>Claude Williams</t>
  </si>
  <si>
    <t>Bruce Robertson</t>
  </si>
  <si>
    <t>James Parker</t>
  </si>
  <si>
    <t>James Haig</t>
  </si>
  <si>
    <t>Nau Cherrington</t>
  </si>
  <si>
    <t>George Nicholson</t>
  </si>
  <si>
    <t>John Turnbull</t>
  </si>
  <si>
    <t>Marcus Nicholls</t>
  </si>
  <si>
    <t>Terence Lockington</t>
  </si>
  <si>
    <t>Leicester Rutledge</t>
  </si>
  <si>
    <t>Reuben Thorne</t>
  </si>
  <si>
    <t>Bernie Fraser</t>
  </si>
  <si>
    <t>Edward Stewart</t>
  </si>
  <si>
    <t>Eric Watkins</t>
  </si>
  <si>
    <t>George Colling</t>
  </si>
  <si>
    <t>Joseph Morgan</t>
  </si>
  <si>
    <t>Laurence Hullena</t>
  </si>
  <si>
    <t>Frank Brooker</t>
  </si>
  <si>
    <t>Rod Heeps</t>
  </si>
  <si>
    <t>Henry Roberts</t>
  </si>
  <si>
    <t>Bryan Williams</t>
  </si>
  <si>
    <t>Isitolo Maka</t>
  </si>
  <si>
    <t>Scott Crichton</t>
  </si>
  <si>
    <t>Bradley Mika</t>
  </si>
  <si>
    <t>Grant Fox</t>
  </si>
  <si>
    <t>John Buchan</t>
  </si>
  <si>
    <t>William Wynyard</t>
  </si>
  <si>
    <t>Arthur Stone</t>
  </si>
  <si>
    <t>Kevin Briscoe</t>
  </si>
  <si>
    <t>Charles McLean</t>
  </si>
  <si>
    <t>Frank Wilson</t>
  </si>
  <si>
    <t>Ashley Gardiner</t>
  </si>
  <si>
    <t>Dion Waller</t>
  </si>
  <si>
    <t>Frank Shelford</t>
  </si>
  <si>
    <t>John Best</t>
  </si>
  <si>
    <t>John Blake</t>
  </si>
  <si>
    <t>Arthur Wesney</t>
  </si>
  <si>
    <t>Ray Clarke</t>
  </si>
  <si>
    <t>Kees Meeuws</t>
  </si>
  <si>
    <t>George T. A. Adkins</t>
  </si>
  <si>
    <t>Ralph Caulton</t>
  </si>
  <si>
    <t>Michael Knight</t>
  </si>
  <si>
    <t>David Trevathan</t>
  </si>
  <si>
    <t>David Solomon</t>
  </si>
  <si>
    <t>Graham Mourie</t>
  </si>
  <si>
    <t>William Lunn</t>
  </si>
  <si>
    <t>Karl Ifwersen</t>
  </si>
  <si>
    <t>Mark Brooke-Cowden</t>
  </si>
  <si>
    <t>Kenneth Gray</t>
  </si>
  <si>
    <t>Edgar Wrigley</t>
  </si>
  <si>
    <t>Glenn Taylor</t>
  </si>
  <si>
    <t>Mark Finlay</t>
  </si>
  <si>
    <t>Augustine Hart</t>
  </si>
  <si>
    <t>Ernest Belliss</t>
  </si>
  <si>
    <t>Joe McDonnell</t>
  </si>
  <si>
    <t>Peter McDonnell</t>
  </si>
  <si>
    <t>Barry Thompson</t>
  </si>
  <si>
    <t>Maurice Brownlie</t>
  </si>
  <si>
    <t>Nicholas "Nick" Evans</t>
  </si>
  <si>
    <t>Alfred Budd</t>
  </si>
  <si>
    <t>George Sellars</t>
  </si>
  <si>
    <t>Douglas Rollerson</t>
  </si>
  <si>
    <t>Robert Barber</t>
  </si>
  <si>
    <t>Thomas Budd</t>
  </si>
  <si>
    <t>Josevata "Joe" Rokocoko</t>
  </si>
  <si>
    <t>Paul Henderson</t>
  </si>
  <si>
    <t>Frank Surman</t>
  </si>
  <si>
    <t>Swinbourne Hadley</t>
  </si>
  <si>
    <t>Steven Nesbit</t>
  </si>
  <si>
    <t>Neville Thornton</t>
  </si>
  <si>
    <t>Rico Gear</t>
  </si>
  <si>
    <t>John H Gardner</t>
  </si>
  <si>
    <t>Andy Earl</t>
  </si>
  <si>
    <t>Arthur Humphries</t>
  </si>
  <si>
    <t>Sydney Orchard</t>
  </si>
  <si>
    <t>Carl Hayman</t>
  </si>
  <si>
    <t>Michael Burgoyne</t>
  </si>
  <si>
    <t>Mike Clamp</t>
  </si>
  <si>
    <t>Wayne Neville</t>
  </si>
  <si>
    <t>Bill Carson</t>
  </si>
  <si>
    <t>Brad Thorn</t>
  </si>
  <si>
    <t>MacFarlane Herewini</t>
  </si>
  <si>
    <t>Bruce McLeod</t>
  </si>
  <si>
    <t>Percy Tetzlaff</t>
  </si>
  <si>
    <t>Ron Williams</t>
  </si>
  <si>
    <t>Fred Allen</t>
  </si>
  <si>
    <t>Andrew Blowers</t>
  </si>
  <si>
    <t>Thomas Ryan</t>
  </si>
  <si>
    <t>Stephen Pokere</t>
  </si>
  <si>
    <t>Paul Little</t>
  </si>
  <si>
    <t>Andrew Hore</t>
  </si>
  <si>
    <t>Ronald Hemi</t>
  </si>
  <si>
    <t>Cyril Brownlie</t>
  </si>
  <si>
    <t>Alastair Robinson</t>
  </si>
  <si>
    <t>George Loveridge</t>
  </si>
  <si>
    <t>Alexander Kerr</t>
  </si>
  <si>
    <t>Lachlan Cameron</t>
  </si>
  <si>
    <t>Richard White</t>
  </si>
  <si>
    <t>Frano Botica</t>
  </si>
  <si>
    <t>Brian McGrattan</t>
  </si>
  <si>
    <t>George Scrimshaw</t>
  </si>
  <si>
    <t>Jerome Kaino</t>
  </si>
  <si>
    <t>Donald Hamilton</t>
  </si>
  <si>
    <t>Piri Weepu</t>
  </si>
  <si>
    <t>Albert Cooke</t>
  </si>
  <si>
    <t>David Baird</t>
  </si>
  <si>
    <t>Brian McCleary</t>
  </si>
  <si>
    <t>Samuel Bligh</t>
  </si>
  <si>
    <t>William Fea</t>
  </si>
  <si>
    <t>Edwin Davy</t>
  </si>
  <si>
    <t>John Mowlem</t>
  </si>
  <si>
    <t>David John Graham</t>
  </si>
  <si>
    <t>Maurice Graham</t>
  </si>
  <si>
    <t>William Sonntag</t>
  </si>
  <si>
    <t>Umberto Calcinai</t>
  </si>
  <si>
    <t>John Spencer</t>
  </si>
  <si>
    <t>Kevin Skinner</t>
  </si>
  <si>
    <t>Gerald Kember</t>
  </si>
  <si>
    <t>Steve McDowell</t>
  </si>
  <si>
    <t>Duncan Hales</t>
  </si>
  <si>
    <t>James Moffitt</t>
  </si>
  <si>
    <t>Andy Dalton</t>
  </si>
  <si>
    <t>Raymond Bell</t>
  </si>
  <si>
    <t>John Swindley</t>
  </si>
  <si>
    <t>Rhys Duggan</t>
  </si>
  <si>
    <t>Charles Erceg</t>
  </si>
  <si>
    <t>Charles Fitzgerald</t>
  </si>
  <si>
    <t>Bevan Wilson</t>
  </si>
  <si>
    <t>Beethoven Algar</t>
  </si>
  <si>
    <t>Francis McMinn</t>
  </si>
  <si>
    <t>Thomas Katene</t>
  </si>
  <si>
    <t>Robert Mackenzie</t>
  </si>
  <si>
    <t>Alan Robilliard</t>
  </si>
  <si>
    <t>Hugh McLaren</t>
  </si>
  <si>
    <t>Charles N MacIntosh</t>
  </si>
  <si>
    <t>Jules Le Lievre</t>
  </si>
  <si>
    <t>Desmond Oliver</t>
  </si>
  <si>
    <t>Charles Oliver</t>
  </si>
  <si>
    <t>Hubert McLean</t>
  </si>
  <si>
    <t>Victor Simpson</t>
  </si>
  <si>
    <t>Vincent Bevan</t>
  </si>
  <si>
    <t>George Gray</t>
  </si>
  <si>
    <t>Frederick Ivimey</t>
  </si>
  <si>
    <t>Roy White</t>
  </si>
  <si>
    <t>Nisbet McRobie</t>
  </si>
  <si>
    <t>Richard Fogarty</t>
  </si>
  <si>
    <t>Ken Bloxham</t>
  </si>
  <si>
    <t>Keith Lowen</t>
  </si>
  <si>
    <t>Jonathan "Jono" Gibbes</t>
  </si>
  <si>
    <t>William Freebairn</t>
  </si>
  <si>
    <t>Blair Furlong</t>
  </si>
  <si>
    <t>John McRae</t>
  </si>
  <si>
    <t>Graham Shannon</t>
  </si>
  <si>
    <t>Dave Gallaher</t>
  </si>
  <si>
    <t>William Ford</t>
  </si>
  <si>
    <t>Edward Holder</t>
  </si>
  <si>
    <t>Frederick Newton</t>
  </si>
  <si>
    <t>George Wise</t>
  </si>
  <si>
    <t>William Smith</t>
  </si>
  <si>
    <t>Rawi Cundy</t>
  </si>
  <si>
    <t>Jack Bond</t>
  </si>
  <si>
    <t>Eric Snow</t>
  </si>
  <si>
    <t>Innes Finlayson</t>
  </si>
  <si>
    <t>James (Jimmy) Duncan</t>
  </si>
  <si>
    <t>Harrison Rowley</t>
  </si>
  <si>
    <t>Geoff Valli</t>
  </si>
  <si>
    <t>John Rankin</t>
  </si>
  <si>
    <t>Jon McLachlan</t>
  </si>
  <si>
    <t>Albert Bowman</t>
  </si>
  <si>
    <t>George Harper</t>
  </si>
  <si>
    <t>Olo Brown</t>
  </si>
  <si>
    <t>Andrew O'Brien</t>
  </si>
  <si>
    <t>Keith Nelson</t>
  </si>
  <si>
    <t>John Hogan</t>
  </si>
  <si>
    <t>Ian Hammond</t>
  </si>
  <si>
    <t>John Leeson</t>
  </si>
  <si>
    <t>Brett Codlin</t>
  </si>
  <si>
    <t>Expenses</t>
  </si>
  <si>
    <t>Budget</t>
  </si>
  <si>
    <t>Rent</t>
  </si>
  <si>
    <t>Rates</t>
  </si>
  <si>
    <t>Services</t>
  </si>
  <si>
    <t>Property insurance</t>
  </si>
  <si>
    <t>Telephone</t>
  </si>
  <si>
    <t>Electricity</t>
  </si>
  <si>
    <t>Gas</t>
  </si>
  <si>
    <t>Vehicle repair&amp;maint</t>
  </si>
  <si>
    <t>Vehicle tax &amp; insur.</t>
  </si>
  <si>
    <t>Petrol &amp; expenses</t>
  </si>
  <si>
    <t>Stationery</t>
  </si>
  <si>
    <t>Photocopier lease</t>
  </si>
  <si>
    <t>Audit</t>
  </si>
  <si>
    <t>Legal</t>
  </si>
  <si>
    <t>Sundry</t>
  </si>
  <si>
    <t>Filter</t>
  </si>
  <si>
    <t>ActBud</t>
  </si>
  <si>
    <t>Unit</t>
  </si>
  <si>
    <t>Item</t>
  </si>
  <si>
    <t>Open</t>
  </si>
  <si>
    <t>FY</t>
  </si>
  <si>
    <t>A</t>
  </si>
  <si>
    <t>PoozleSwaps</t>
  </si>
  <si>
    <t>BlimmerDroops</t>
  </si>
  <si>
    <t>DoddleFlunks</t>
  </si>
  <si>
    <t>MuttWoozles</t>
  </si>
  <si>
    <t>PeezlPuffs</t>
  </si>
  <si>
    <t>SchnoozerKopps</t>
  </si>
  <si>
    <t>DonklWutts</t>
  </si>
  <si>
    <t>DrackleDroofs</t>
  </si>
  <si>
    <t>HaaHopos</t>
  </si>
  <si>
    <t>B</t>
  </si>
  <si>
    <t>CAN</t>
  </si>
  <si>
    <t>DEN</t>
  </si>
  <si>
    <t>FRA</t>
  </si>
  <si>
    <t>GER</t>
  </si>
  <si>
    <t>HOL</t>
  </si>
  <si>
    <t>IRE</t>
  </si>
  <si>
    <t>ITA</t>
  </si>
  <si>
    <t>NOR</t>
  </si>
  <si>
    <t>SPA</t>
  </si>
  <si>
    <t>SWE</t>
  </si>
  <si>
    <t>UKB</t>
  </si>
  <si>
    <t>USA</t>
  </si>
  <si>
    <t>Every Word Starts With An 
Uppercase Letter</t>
  </si>
  <si>
    <t>TRIM:</t>
  </si>
  <si>
    <t>Removes excess spaces.</t>
  </si>
  <si>
    <r>
      <t>=TRIM("  A  B  C  ")</t>
    </r>
    <r>
      <rPr>
        <sz val="8"/>
        <rFont val="Arial"/>
        <family val="2"/>
      </rPr>
      <t xml:space="preserve"> =&gt; "A B C"</t>
    </r>
  </si>
  <si>
    <t>=LEN("Text")</t>
  </si>
  <si>
    <t>Counts the number of 
characters in a piece of text</t>
  </si>
  <si>
    <t>SUBSTITUTE:</t>
  </si>
  <si>
    <t>Replace an unwanted 
character in a piece of text 
with another character.</t>
  </si>
  <si>
    <t>=SUBSTITUTE(Piece of text , unwanted character , new character)</t>
  </si>
  <si>
    <t>CLEAR:</t>
  </si>
  <si>
    <t>Removes the most common 
non printing characters</t>
  </si>
  <si>
    <t>LEFT:</t>
  </si>
  <si>
    <t>=LEFT(text, number of characters)</t>
  </si>
  <si>
    <t>Returns the characters from 
the left</t>
  </si>
  <si>
    <t>RIGHT:</t>
  </si>
  <si>
    <t>Returns the characters from 
the right</t>
  </si>
  <si>
    <t>=RIGHT(text, number of characters)</t>
  </si>
  <si>
    <t>MID:</t>
  </si>
  <si>
    <t>Returns the characters from 
the middle</t>
  </si>
  <si>
    <t>=MID(text, start number, number of characters)</t>
  </si>
  <si>
    <t>Concatenate</t>
  </si>
  <si>
    <r>
      <t xml:space="preserve">Use the </t>
    </r>
    <r>
      <rPr>
        <b/>
        <sz val="8"/>
        <rFont val="Arial"/>
        <family val="2"/>
      </rPr>
      <t>&amp;</t>
    </r>
    <r>
      <rPr>
        <sz val="8"/>
        <rFont val="Arial"/>
        <family val="2"/>
      </rPr>
      <t xml:space="preserve"> symbol</t>
    </r>
  </si>
  <si>
    <t>Join multiple pieces of text 
together.</t>
  </si>
  <si>
    <t xml:space="preserve">Sir porter </t>
  </si>
  <si>
    <t>Source data</t>
  </si>
  <si>
    <t>First name</t>
  </si>
  <si>
    <t>Last name</t>
  </si>
  <si>
    <t>Join with comma</t>
  </si>
  <si>
    <t>Capitalise</t>
  </si>
  <si>
    <t>Raw Data</t>
  </si>
  <si>
    <t>Non-printing characters</t>
  </si>
  <si>
    <t>Includes such characters as:
Line feeds
Form feeds
Record separators</t>
  </si>
  <si>
    <t>Text must be enclosed in " "</t>
  </si>
  <si>
    <t>Space             " "</t>
  </si>
  <si>
    <t>Blank text        ""</t>
  </si>
  <si>
    <t>Underscore     "_"</t>
  </si>
  <si>
    <t>TextToColumns03.png</t>
  </si>
  <si>
    <t>F5</t>
  </si>
  <si>
    <t>Opens the Go To dialog box</t>
  </si>
  <si>
    <t>PasteSpecial03.png</t>
  </si>
  <si>
    <t xml:space="preserve">Bob Sims   </t>
  </si>
  <si>
    <t>To demonstrate and learn the basic techniques for Data manipulation</t>
  </si>
  <si>
    <t>Same as application</t>
  </si>
  <si>
    <t>AbleOwl © 2024</t>
  </si>
  <si>
    <t>06-Oct-2024A</t>
  </si>
  <si>
    <t>LEFT, MID, RIGHT and 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</si>
</sst>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0">
    <numFmt numFmtId="164" formatCode="#,##0_);\(#,##0\);0_);* @_)"/>
    <numFmt numFmtId="165" formatCode="#,##0,_);\(#,##0,\);0_);* @_)"/>
    <numFmt numFmtId="166" formatCode="#,##0,,_);\(#,##0,,\);0_);* @_)"/>
    <numFmt numFmtId="167" formatCode="#,##0.0_);\(#,##0.0\);0.0_);* @_)"/>
    <numFmt numFmtId="168" formatCode="#,##0.00_);\(#,##0.00\);0.00_);* @_)"/>
    <numFmt numFmtId="169" formatCode="#,##0.000_);\(#,##0.000\);0.000_);* @_)"/>
    <numFmt numFmtId="170" formatCode="#,##0.0000_);\(#,##0.0000\);0.0000_);* @_)"/>
    <numFmt numFmtId="171" formatCode="d\-mmm;[Red]&quot;Not date&quot;;&quot;-&quot;;[Red]* &quot;Not date&quot;"/>
    <numFmt numFmtId="172" formatCode="d\-mmm\-yyyy;[Red]&quot;Not date&quot;;&quot;-&quot;;[Red]* &quot;Not date&quot;"/>
    <numFmt numFmtId="173" formatCode="d\-mmm\-yyyy\ h:mm\ AM/PM;[Red]* &quot;Not date&quot;;&quot;-&quot;;[Red]* &quot;Not date&quot;"/>
    <numFmt numFmtId="174" formatCode="d/mm/yyyy;[Red]* &quot;Not date&quot;;&quot;-&quot;;[Red]* &quot;Not date&quot;"/>
    <numFmt numFmtId="175" formatCode="mm/dd/yyyy;[Red]* &quot;Not date&quot;;&quot;-&quot;;[Red]* &quot;Not date&quot;"/>
    <numFmt numFmtId="176" formatCode="mmm\-yy;[Red]* &quot;Not date&quot;;&quot;-&quot;;[Red]* &quot;Not date&quot;"/>
    <numFmt numFmtId="177" formatCode="0;\-0;0;* @"/>
    <numFmt numFmtId="178" formatCode="h:mm\ AM/PM;[Red]* &quot;Not time&quot;;\-;[Red]* &quot;Not time&quot;"/>
    <numFmt numFmtId="179" formatCode="[h]:mm;[Red]* &quot;Not time&quot;;[h]:mm;[Red]* &quot;Not time&quot;"/>
    <numFmt numFmtId="180" formatCode="00\-00\-000000\-00"/>
    <numFmt numFmtId="181" formatCode="0%;\-0%;0%;* @_%"/>
    <numFmt numFmtId="182" formatCode="0.0%;\-0.0%;0.0%;* @_%"/>
    <numFmt numFmtId="183" formatCode="0.00%;\-0.00%;0.00%;* @_%"/>
    <numFmt numFmtId="184" formatCode="0.000%;\-0.000%;0.000%;* @_%"/>
    <numFmt numFmtId="185" formatCode="\$* #,##0,_);\$* \(#,##0,\);\$* 0_);* @_)"/>
    <numFmt numFmtId="186" formatCode="\$* #,##0,,_);\$* \(#,##0,,\);\$* 0_);* @_)"/>
    <numFmt numFmtId="187" formatCode="d\-mmm\-yyyy;[Red]* &quot;Not date&quot;;&quot;-&quot;;[Red]* &quot;Not date&quot;"/>
    <numFmt numFmtId="188" formatCode="d\-mmm\-yyyy\ h:mm\ AM/PM;[Red]* &quot;Not time&quot;;0;[Red]* &quot;Not time&quot;"/>
    <numFmt numFmtId="189" formatCode="\$* #,##0_);\$* \(#,##0\);\$* 0_);* @_)"/>
    <numFmt numFmtId="190" formatCode="\$* #,##0.0_);\$* \(#,##0.0\);\$* 0.0_);* @_)"/>
    <numFmt numFmtId="191" formatCode="\$* #,##0.00_);\$* \(#,##0.00\);\$* 0.00_);* @_)"/>
    <numFmt numFmtId="192" formatCode="\$* #,##0.000_);\$* \(#,##0.000\);\$* 0.000_);* @_)"/>
    <numFmt numFmtId="193" formatCode="\$* #,##0.0000_);\$* \(#,##0.0000\);\$* 0.0000_);* @_)"/>
    <numFmt numFmtId="194" formatCode="00\-000\-000"/>
    <numFmt numFmtId="195" formatCode="&quot;$&quot;* #,##0_);&quot;$&quot;* \(#,##0\);&quot;$&quot;* 0_);* @_)"/>
    <numFmt numFmtId="196" formatCode="#,##0.0_);\(#,##0.0\)"/>
    <numFmt numFmtId="197" formatCode="#,##0.000_);\(#,##0.000\)"/>
    <numFmt numFmtId="198" formatCode="#,##0.0000_);\(#,##0.0000\)"/>
    <numFmt numFmtId="199" formatCode="&quot;$&quot;* #,##0_);&quot;$&quot;* \(#,##0\)"/>
    <numFmt numFmtId="200" formatCode="&quot;$&quot;* #,##0.0_);&quot;$&quot;* \(#,##0.0\)"/>
    <numFmt numFmtId="201" formatCode="&quot;$&quot;* #,##0.00_);&quot;$&quot;* \(#,##0.00\)"/>
    <numFmt numFmtId="202" formatCode="&quot;$&quot;* #,##0.000_);&quot;$&quot;* \(#,##0.000\)"/>
    <numFmt numFmtId="203" formatCode="&quot;$&quot;* #,##0.0000_);&quot;$&quot;* \(#,##0.0000\)"/>
    <numFmt numFmtId="204" formatCode="0.0%"/>
    <numFmt numFmtId="205" formatCode="\ @"/>
    <numFmt numFmtId="206" formatCode="\ \ @"/>
    <numFmt numFmtId="207" formatCode="\ \ \ @"/>
    <numFmt numFmtId="208" formatCode="000\-000\-000\-00"/>
    <numFmt numFmtId="209" formatCode="0;0;&quot;-&quot;"/>
    <numFmt numFmtId="210" formatCode="&quot;$&quot;* #,##0.0_);&quot;$&quot;* \(#,##0.0\);&quot;$&quot;* 0.0_);* @_)"/>
    <numFmt numFmtId="211" formatCode="&quot;$&quot;* #,##0.00_);&quot;$&quot;* \(#,##0.00\);&quot;$&quot;* 0.00_);* @_)"/>
    <numFmt numFmtId="212" formatCode="&quot;$&quot;* #,##0.000_);&quot;$&quot;* \(#,##0.000\);&quot;$&quot;* 0.000_);* @_)"/>
    <numFmt numFmtId="213" formatCode="&quot;$&quot;* #,##0.0000_);&quot;$&quot;* \(#,##0.0000\);&quot;$&quot;* 0.0000_);* @_)"/>
  </numFmts>
  <fonts count="25" x14ac:knownFonts="1">
    <font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u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4"/>
      <color indexed="63"/>
      <name val="Arial"/>
      <family val="2"/>
    </font>
    <font>
      <b/>
      <sz val="8"/>
      <color indexed="63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8"/>
      <color theme="1"/>
      <name val="Arial"/>
      <family val="2"/>
    </font>
    <font>
      <u/>
      <sz val="8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29">
    <xf numFmtId="0" fontId="0" fillId="0" borderId="0" applyFill="0" applyBorder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37" fontId="19" fillId="2" borderId="1" applyFill="0" applyBorder="0"/>
    <xf numFmtId="196" fontId="19" fillId="0" borderId="0" applyFill="0" applyBorder="0"/>
    <xf numFmtId="39" fontId="19" fillId="0" borderId="0" applyFill="0" applyBorder="0"/>
    <xf numFmtId="197" fontId="19" fillId="0" borderId="0" applyFill="0" applyBorder="0"/>
    <xf numFmtId="198" fontId="19" fillId="0" borderId="0" applyFill="0" applyBorder="0"/>
    <xf numFmtId="199" fontId="19" fillId="0" borderId="0" applyFill="0" applyBorder="0"/>
    <xf numFmtId="200" fontId="19" fillId="0" borderId="0" applyFill="0" applyBorder="0"/>
    <xf numFmtId="201" fontId="19" fillId="0" borderId="0" applyFill="0" applyBorder="0"/>
    <xf numFmtId="202" fontId="19" fillId="0" borderId="0" applyFill="0" applyBorder="0"/>
    <xf numFmtId="203" fontId="19" fillId="0" borderId="2" applyFill="0" applyBorder="0"/>
    <xf numFmtId="37" fontId="19" fillId="0" borderId="0" applyFill="0" applyBorder="0"/>
    <xf numFmtId="9" fontId="19" fillId="0" borderId="0" applyFill="0" applyBorder="0"/>
    <xf numFmtId="204" fontId="21" fillId="0" borderId="0" applyFill="0" applyBorder="0"/>
    <xf numFmtId="10" fontId="19" fillId="0" borderId="0" applyFill="0" applyBorder="0"/>
    <xf numFmtId="164" fontId="1" fillId="0" borderId="0" applyFill="0" applyBorder="0">
      <alignment vertical="top"/>
    </xf>
    <xf numFmtId="164" fontId="1" fillId="0" borderId="0" applyFill="0" applyBorder="0"/>
    <xf numFmtId="164" fontId="8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7" fontId="1" fillId="0" borderId="0" applyFill="0" applyBorder="0">
      <alignment vertical="top"/>
    </xf>
    <xf numFmtId="168" fontId="1" fillId="0" borderId="0" applyFill="0" applyBorder="0">
      <alignment vertical="top"/>
    </xf>
    <xf numFmtId="169" fontId="1" fillId="0" borderId="0" applyFill="0" applyBorder="0">
      <alignment vertical="top"/>
    </xf>
    <xf numFmtId="170" fontId="1" fillId="0" borderId="0" applyFill="0" applyBorder="0">
      <alignment vertical="top"/>
    </xf>
    <xf numFmtId="171" fontId="1" fillId="0" borderId="0" applyFill="0" applyBorder="0">
      <alignment vertical="top"/>
    </xf>
    <xf numFmtId="172" fontId="1" fillId="0" borderId="0" applyFill="0" applyBorder="0">
      <alignment vertical="top"/>
    </xf>
    <xf numFmtId="173" fontId="1" fillId="0" borderId="0" applyFill="0" applyBorder="0">
      <alignment vertical="top"/>
    </xf>
    <xf numFmtId="173" fontId="1" fillId="0" borderId="0" applyFill="0" applyBorder="0"/>
    <xf numFmtId="173" fontId="1" fillId="0" borderId="0" applyFill="0" applyBorder="0"/>
    <xf numFmtId="174" fontId="1" fillId="0" borderId="0" applyFill="0" applyBorder="0">
      <alignment vertical="top"/>
    </xf>
    <xf numFmtId="175" fontId="1" fillId="0" borderId="0" applyFill="0" applyBorder="0">
      <alignment vertical="top"/>
    </xf>
    <xf numFmtId="176" fontId="1" fillId="0" borderId="0" applyFill="0" applyBorder="0">
      <alignment vertical="top"/>
    </xf>
    <xf numFmtId="176" fontId="1" fillId="0" borderId="0" applyFill="0" applyBorder="0">
      <alignment horizontal="center" vertical="top"/>
    </xf>
    <xf numFmtId="177" fontId="1" fillId="0" borderId="0" applyFill="0" applyBorder="0">
      <alignment vertical="top"/>
    </xf>
    <xf numFmtId="194" fontId="1" fillId="0" borderId="0" applyFill="0" applyBorder="0"/>
    <xf numFmtId="178" fontId="1" fillId="0" borderId="0" applyFill="0" applyBorder="0">
      <alignment vertical="top"/>
    </xf>
    <xf numFmtId="178" fontId="1" fillId="0" borderId="0" applyFill="0" applyBorder="0"/>
    <xf numFmtId="178" fontId="1" fillId="0" borderId="0" applyFill="0" applyBorder="0"/>
    <xf numFmtId="179" fontId="1" fillId="0" borderId="0" applyFill="0" applyBorder="0">
      <alignment vertical="top"/>
    </xf>
    <xf numFmtId="180" fontId="1" fillId="0" borderId="3" applyBorder="0"/>
    <xf numFmtId="181" fontId="1" fillId="0" borderId="0" applyFill="0" applyBorder="0">
      <alignment vertical="top"/>
    </xf>
    <xf numFmtId="182" fontId="7" fillId="0" borderId="0" applyFill="0" applyBorder="0">
      <alignment vertical="top"/>
    </xf>
    <xf numFmtId="183" fontId="1" fillId="0" borderId="0" applyFill="0" applyBorder="0">
      <alignment vertical="top"/>
    </xf>
    <xf numFmtId="184" fontId="1" fillId="0" borderId="0" applyFill="0" applyBorder="0">
      <alignment vertical="top"/>
    </xf>
    <xf numFmtId="189" fontId="1" fillId="0" borderId="0" applyFill="0" applyBorder="0">
      <alignment vertical="top"/>
    </xf>
    <xf numFmtId="195" fontId="1" fillId="0" borderId="0" applyFill="0" applyBorder="0"/>
    <xf numFmtId="195" fontId="1" fillId="0" borderId="0" applyFill="0" applyBorder="0"/>
    <xf numFmtId="195" fontId="8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90" fontId="1" fillId="0" borderId="0" applyFill="0" applyBorder="0">
      <alignment vertical="top"/>
    </xf>
    <xf numFmtId="210" fontId="1" fillId="0" borderId="0" applyFill="0" applyBorder="0"/>
    <xf numFmtId="210" fontId="1" fillId="0" borderId="0" applyFill="0" applyBorder="0"/>
    <xf numFmtId="191" fontId="1" fillId="0" borderId="0" applyFill="0" applyBorder="0">
      <alignment vertical="top"/>
    </xf>
    <xf numFmtId="211" fontId="1" fillId="0" borderId="0" applyFill="0" applyBorder="0"/>
    <xf numFmtId="211" fontId="1" fillId="0" borderId="0" applyFill="0" applyBorder="0"/>
    <xf numFmtId="192" fontId="1" fillId="0" borderId="0" applyFill="0" applyBorder="0">
      <alignment vertical="top"/>
    </xf>
    <xf numFmtId="212" fontId="1" fillId="0" borderId="0" applyFill="0" applyBorder="0"/>
    <xf numFmtId="212" fontId="1" fillId="0" borderId="0" applyFill="0" applyBorder="0"/>
    <xf numFmtId="193" fontId="1" fillId="0" borderId="0" applyFill="0" applyBorder="0">
      <alignment vertical="top"/>
    </xf>
    <xf numFmtId="213" fontId="1" fillId="0" borderId="0" applyFill="0" applyBorder="0"/>
    <xf numFmtId="213" fontId="1" fillId="0" borderId="0" applyFill="0" applyBorder="0"/>
    <xf numFmtId="0" fontId="12" fillId="0" borderId="0" applyFill="0" applyBorder="0">
      <alignment vertical="top"/>
    </xf>
    <xf numFmtId="0" fontId="12" fillId="0" borderId="0" applyFill="0" applyBorder="0">
      <alignment vertical="top"/>
    </xf>
    <xf numFmtId="0" fontId="4" fillId="0" borderId="0" applyFill="0" applyBorder="0">
      <alignment vertical="top"/>
    </xf>
    <xf numFmtId="0" fontId="4" fillId="0" borderId="0" applyFill="0" applyBorder="0">
      <alignment vertical="top"/>
    </xf>
    <xf numFmtId="0" fontId="4" fillId="3" borderId="4" applyFill="0" applyBorder="0">
      <alignment vertical="top"/>
    </xf>
    <xf numFmtId="0" fontId="4" fillId="3" borderId="4" applyFill="0" applyBorder="0">
      <alignment vertical="top"/>
    </xf>
    <xf numFmtId="0" fontId="2" fillId="0" borderId="0" applyFill="0" applyBorder="0"/>
    <xf numFmtId="0" fontId="2" fillId="0" borderId="0" applyFill="0" applyBorder="0">
      <alignment vertical="top"/>
    </xf>
    <xf numFmtId="0" fontId="6" fillId="0" borderId="0" applyFill="0" applyBorder="0">
      <alignment vertical="top"/>
    </xf>
    <xf numFmtId="0" fontId="6" fillId="0" borderId="0" applyFill="0" applyBorder="0">
      <alignment vertical="top"/>
    </xf>
    <xf numFmtId="0" fontId="3" fillId="0" borderId="0" applyFill="0" applyBorder="0"/>
    <xf numFmtId="0" fontId="3" fillId="0" borderId="0" applyFill="0" applyBorder="0">
      <alignment vertical="top"/>
    </xf>
    <xf numFmtId="0" fontId="13" fillId="0" borderId="0" applyFill="0" applyBorder="0">
      <alignment vertical="top"/>
    </xf>
    <xf numFmtId="0" fontId="8" fillId="0" borderId="0" applyFill="0" applyBorder="0"/>
    <xf numFmtId="0" fontId="8" fillId="0" borderId="0" applyFill="0" applyBorder="0"/>
    <xf numFmtId="0" fontId="22" fillId="0" borderId="0" applyFill="0" applyBorder="0"/>
    <xf numFmtId="0" fontId="2" fillId="0" borderId="0" applyFill="0" applyBorder="0"/>
    <xf numFmtId="205" fontId="3" fillId="0" borderId="0" applyFill="0" applyBorder="0"/>
    <xf numFmtId="206" fontId="3" fillId="0" borderId="5" applyFill="0" applyBorder="0"/>
    <xf numFmtId="17" fontId="19" fillId="0" borderId="0" applyFill="0" applyBorder="0">
      <alignment horizontal="center"/>
    </xf>
    <xf numFmtId="0" fontId="9" fillId="0" borderId="0" applyFill="0" applyBorder="0">
      <alignment horizontal="left" vertical="top"/>
      <protection hidden="1"/>
    </xf>
    <xf numFmtId="0" fontId="9" fillId="0" borderId="0" applyFill="0" applyBorder="0">
      <alignment horizontal="left" vertical="top" indent="1"/>
      <protection hidden="1"/>
    </xf>
    <xf numFmtId="0" fontId="9" fillId="0" borderId="0" applyFill="0" applyBorder="0">
      <alignment horizontal="left" vertical="top" indent="2"/>
      <protection hidden="1"/>
    </xf>
    <xf numFmtId="0" fontId="9" fillId="0" borderId="0" applyFill="0" applyBorder="0">
      <alignment horizontal="left" vertical="top" indent="3"/>
      <protection hidden="1"/>
    </xf>
    <xf numFmtId="0" fontId="24" fillId="0" borderId="0" applyNumberFormat="0" applyFill="0" applyBorder="0" applyAlignment="0" applyProtection="0">
      <alignment vertical="top"/>
      <protection locked="0"/>
    </xf>
    <xf numFmtId="164" fontId="10" fillId="0" borderId="0" applyFill="0" applyBorder="0">
      <alignment vertical="top"/>
      <protection locked="0"/>
    </xf>
    <xf numFmtId="164" fontId="10" fillId="0" borderId="0" applyFill="0" applyBorder="0"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7" fontId="10" fillId="0" borderId="0" applyFill="0" applyBorder="0">
      <alignment vertical="top"/>
      <protection locked="0"/>
    </xf>
    <xf numFmtId="168" fontId="10" fillId="0" borderId="0" applyFill="0" applyBorder="0">
      <alignment vertical="top"/>
      <protection locked="0"/>
    </xf>
    <xf numFmtId="169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1" fontId="10" fillId="0" borderId="0" applyFill="0" applyBorder="0">
      <alignment vertical="top"/>
      <protection locked="0"/>
    </xf>
    <xf numFmtId="187" fontId="10" fillId="0" borderId="0" applyFill="0" applyBorder="0">
      <alignment vertical="top"/>
      <protection locked="0"/>
    </xf>
    <xf numFmtId="188" fontId="10" fillId="0" borderId="0" applyFill="0" applyBorder="0">
      <alignment vertical="top"/>
      <protection locked="0"/>
    </xf>
    <xf numFmtId="188" fontId="10" fillId="0" borderId="0" applyFill="0" applyBorder="0">
      <protection locked="0"/>
    </xf>
    <xf numFmtId="188" fontId="10" fillId="0" borderId="0" applyFill="0" applyBorder="0">
      <protection locked="0"/>
    </xf>
    <xf numFmtId="174" fontId="10" fillId="0" borderId="0" applyFill="0" applyBorder="0">
      <alignment vertical="top"/>
      <protection locked="0"/>
    </xf>
    <xf numFmtId="175" fontId="10" fillId="0" borderId="0" applyFill="0" applyBorder="0">
      <alignment vertical="top"/>
      <protection locked="0"/>
    </xf>
    <xf numFmtId="176" fontId="10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177" fontId="11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49" fontId="10" fillId="0" borderId="0" applyFill="0" applyBorder="0">
      <alignment vertical="top"/>
      <protection locked="0"/>
    </xf>
    <xf numFmtId="49" fontId="11" fillId="0" borderId="0" applyFill="0" applyBorder="0">
      <alignment vertical="top"/>
      <protection locked="0"/>
    </xf>
    <xf numFmtId="0" fontId="10" fillId="0" borderId="0" applyFill="0" applyBorder="0">
      <alignment vertical="top" wrapText="1"/>
      <protection locked="0"/>
    </xf>
    <xf numFmtId="0" fontId="10" fillId="0" borderId="0" applyFill="0" applyBorder="0">
      <alignment vertical="top" wrapText="1"/>
      <protection locked="0"/>
    </xf>
    <xf numFmtId="178" fontId="10" fillId="0" borderId="0" applyFill="0" applyBorder="0">
      <alignment vertical="top"/>
      <protection locked="0"/>
    </xf>
    <xf numFmtId="178" fontId="10" fillId="0" borderId="0" applyFill="0" applyBorder="0">
      <protection locked="0"/>
    </xf>
    <xf numFmtId="178" fontId="10" fillId="0" borderId="0" applyFill="0" applyBorder="0">
      <protection locked="0"/>
    </xf>
    <xf numFmtId="179" fontId="10" fillId="0" borderId="0" applyFill="0" applyBorder="0">
      <alignment vertical="top"/>
      <protection locked="0"/>
    </xf>
    <xf numFmtId="37" fontId="20" fillId="0" borderId="0" applyFill="0" applyBorder="0">
      <protection locked="0"/>
    </xf>
    <xf numFmtId="196" fontId="20" fillId="0" borderId="0" applyFill="0" applyBorder="0">
      <protection locked="0"/>
    </xf>
    <xf numFmtId="39" fontId="20" fillId="0" borderId="0" applyFill="0" applyBorder="0">
      <protection locked="0"/>
    </xf>
    <xf numFmtId="197" fontId="20" fillId="0" borderId="0" applyFill="0" applyBorder="0">
      <protection locked="0"/>
    </xf>
    <xf numFmtId="198" fontId="19" fillId="0" borderId="0" applyFill="0" applyBorder="0">
      <protection locked="0"/>
    </xf>
    <xf numFmtId="199" fontId="20" fillId="0" borderId="0" applyFill="0" applyBorder="0">
      <protection locked="0"/>
    </xf>
    <xf numFmtId="200" fontId="20" fillId="0" borderId="0" applyFill="0" applyBorder="0">
      <protection locked="0"/>
    </xf>
    <xf numFmtId="201" fontId="20" fillId="0" borderId="0" applyFill="0" applyBorder="0">
      <protection locked="0"/>
    </xf>
    <xf numFmtId="202" fontId="19" fillId="0" borderId="0" applyFill="0" applyBorder="0">
      <protection locked="0"/>
    </xf>
    <xf numFmtId="203" fontId="19" fillId="0" borderId="0" applyFill="0" applyBorder="0">
      <protection locked="0"/>
    </xf>
    <xf numFmtId="14" fontId="20" fillId="0" borderId="0" applyFill="0" applyBorder="0">
      <protection locked="0"/>
    </xf>
    <xf numFmtId="183" fontId="20" fillId="0" borderId="0" applyFill="0" applyBorder="0">
      <protection locked="0"/>
    </xf>
    <xf numFmtId="9" fontId="20" fillId="0" borderId="0" applyFill="0" applyBorder="0">
      <protection locked="0"/>
    </xf>
    <xf numFmtId="204" fontId="20" fillId="0" borderId="0" applyFill="0" applyBorder="0">
      <protection locked="0"/>
    </xf>
    <xf numFmtId="10" fontId="20" fillId="0" borderId="0" applyFill="0" applyBorder="0">
      <protection locked="0"/>
    </xf>
    <xf numFmtId="49" fontId="20" fillId="0" borderId="6" applyFill="0" applyBorder="0">
      <protection locked="0"/>
    </xf>
    <xf numFmtId="181" fontId="10" fillId="0" borderId="0" applyFill="0" applyBorder="0">
      <alignment vertical="top"/>
      <protection locked="0"/>
    </xf>
    <xf numFmtId="182" fontId="10" fillId="0" borderId="0" applyFill="0" applyBorder="0">
      <alignment vertical="top"/>
      <protection locked="0"/>
    </xf>
    <xf numFmtId="183" fontId="10" fillId="0" borderId="0" applyFill="0" applyBorder="0">
      <alignment vertical="top"/>
      <protection locked="0"/>
    </xf>
    <xf numFmtId="184" fontId="10" fillId="0" borderId="0" applyFill="0" applyBorder="0">
      <alignment vertical="top"/>
      <protection locked="0"/>
    </xf>
    <xf numFmtId="189" fontId="10" fillId="0" borderId="0" applyFill="0" applyBorder="0">
      <alignment vertical="top"/>
      <protection locked="0"/>
    </xf>
    <xf numFmtId="195" fontId="10" fillId="0" borderId="0" applyFill="0" applyBorder="0">
      <protection locked="0"/>
    </xf>
    <xf numFmtId="195" fontId="10" fillId="0" borderId="0" applyFill="0" applyBorder="0"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90" fontId="10" fillId="0" borderId="0" applyFill="0" applyBorder="0">
      <alignment vertical="top"/>
      <protection locked="0"/>
    </xf>
    <xf numFmtId="210" fontId="10" fillId="0" borderId="0" applyFill="0" applyBorder="0">
      <protection locked="0"/>
    </xf>
    <xf numFmtId="210" fontId="10" fillId="0" borderId="0" applyFill="0" applyBorder="0">
      <protection locked="0"/>
    </xf>
    <xf numFmtId="191" fontId="10" fillId="0" borderId="0" applyFill="0" applyBorder="0">
      <alignment vertical="top"/>
      <protection locked="0"/>
    </xf>
    <xf numFmtId="211" fontId="10" fillId="0" borderId="0" applyFill="0" applyBorder="0">
      <protection locked="0"/>
    </xf>
    <xf numFmtId="211" fontId="10" fillId="0" borderId="0" applyFill="0" applyBorder="0">
      <protection locked="0"/>
    </xf>
    <xf numFmtId="192" fontId="10" fillId="0" borderId="0" applyFill="0" applyBorder="0">
      <alignment vertical="top"/>
      <protection locked="0"/>
    </xf>
    <xf numFmtId="212" fontId="10" fillId="0" borderId="0" applyFill="0" applyBorder="0">
      <protection locked="0"/>
    </xf>
    <xf numFmtId="212" fontId="10" fillId="0" borderId="0" applyFill="0" applyBorder="0">
      <protection locked="0"/>
    </xf>
    <xf numFmtId="193" fontId="10" fillId="0" borderId="0" applyFill="0" applyBorder="0">
      <alignment vertical="top"/>
      <protection locked="0"/>
    </xf>
    <xf numFmtId="213" fontId="10" fillId="0" borderId="0" applyFill="0" applyBorder="0">
      <protection locked="0"/>
    </xf>
    <xf numFmtId="213" fontId="10" fillId="0" borderId="0" applyFill="0" applyBorder="0"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 indent="1"/>
      <protection locked="0"/>
    </xf>
    <xf numFmtId="49" fontId="10" fillId="0" borderId="0" applyFill="0" applyBorder="0">
      <alignment horizontal="left" vertical="top" indent="2"/>
      <protection locked="0"/>
    </xf>
    <xf numFmtId="49" fontId="10" fillId="0" borderId="0" applyFill="0" applyBorder="0">
      <alignment horizontal="left" vertical="top" indent="3"/>
      <protection locked="0"/>
    </xf>
    <xf numFmtId="49" fontId="10" fillId="0" borderId="0" applyFill="0" applyBorder="0">
      <alignment horizontal="left" vertical="top" indent="4"/>
      <protection locked="0"/>
    </xf>
    <xf numFmtId="49" fontId="10" fillId="0" borderId="0" applyFill="0" applyBorder="0">
      <alignment horizontal="center"/>
      <protection locked="0"/>
    </xf>
    <xf numFmtId="49" fontId="10" fillId="0" borderId="0" applyFill="0" applyBorder="0">
      <alignment horizontal="center" wrapText="1"/>
      <protection locked="0"/>
    </xf>
    <xf numFmtId="49" fontId="1" fillId="0" borderId="0" applyFill="0" applyBorder="0">
      <alignment vertical="top"/>
    </xf>
    <xf numFmtId="205" fontId="8" fillId="0" borderId="0" applyFill="0" applyBorder="0">
      <alignment vertical="top"/>
    </xf>
    <xf numFmtId="0" fontId="1" fillId="0" borderId="0" applyFill="0" applyBorder="0">
      <alignment vertical="top" wrapText="1"/>
    </xf>
    <xf numFmtId="0" fontId="1" fillId="0" borderId="0" applyFill="0" applyBorder="0"/>
    <xf numFmtId="0" fontId="1" fillId="0" borderId="0"/>
    <xf numFmtId="0" fontId="18" fillId="0" borderId="0" applyFill="0" applyBorder="0"/>
    <xf numFmtId="0" fontId="18" fillId="0" borderId="0"/>
    <xf numFmtId="0" fontId="19" fillId="0" borderId="0"/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49" fontId="19" fillId="0" borderId="5" applyFill="0" applyBorder="0"/>
    <xf numFmtId="205" fontId="19" fillId="0" borderId="0" applyFill="0" applyBorder="0"/>
    <xf numFmtId="206" fontId="19" fillId="0" borderId="0" applyFill="0" applyBorder="0"/>
    <xf numFmtId="207" fontId="19" fillId="0" borderId="5" applyFill="0" applyBorder="0"/>
    <xf numFmtId="0" fontId="1" fillId="0" borderId="0" applyFill="0" applyBorder="0">
      <alignment vertical="top"/>
    </xf>
    <xf numFmtId="0" fontId="8" fillId="3" borderId="3" applyFill="0" applyBorder="0">
      <alignment vertical="top"/>
    </xf>
    <xf numFmtId="0" fontId="1" fillId="0" borderId="0" applyFill="0" applyBorder="0">
      <alignment horizontal="left" vertical="top" indent="1"/>
    </xf>
    <xf numFmtId="0" fontId="1" fillId="0" borderId="0" applyFill="0" applyBorder="0">
      <alignment horizontal="left" vertical="top" indent="2"/>
    </xf>
    <xf numFmtId="0" fontId="1" fillId="0" borderId="0" applyFill="0" applyBorder="0">
      <alignment horizontal="left" vertical="top" indent="3"/>
    </xf>
    <xf numFmtId="0" fontId="1" fillId="0" borderId="0" applyFill="0" applyBorder="0">
      <alignment horizontal="left" vertical="top" indent="4"/>
    </xf>
    <xf numFmtId="176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1" fillId="0" borderId="0" applyFill="0" applyBorder="0">
      <alignment horizontal="center"/>
    </xf>
    <xf numFmtId="0" fontId="13" fillId="3" borderId="7" applyFill="0" applyBorder="0">
      <alignment horizontal="center"/>
    </xf>
    <xf numFmtId="0" fontId="5" fillId="4" borderId="0" applyFill="0" applyBorder="0">
      <alignment horizontal="left"/>
    </xf>
    <xf numFmtId="0" fontId="5" fillId="0" borderId="0" applyFill="0" applyBorder="0">
      <alignment horizontal="center" wrapText="1"/>
    </xf>
    <xf numFmtId="0" fontId="5" fillId="0" borderId="0" applyFill="0" applyBorder="0">
      <alignment horizontal="center" wrapText="1"/>
    </xf>
    <xf numFmtId="0" fontId="1" fillId="0" borderId="0" applyFill="0" applyBorder="0">
      <alignment horizontal="center" wrapText="1"/>
    </xf>
    <xf numFmtId="0" fontId="13" fillId="3" borderId="8" applyFill="0" applyBorder="0">
      <alignment horizontal="center" wrapText="1"/>
    </xf>
  </cellStyleXfs>
  <cellXfs count="178">
    <xf numFmtId="0" fontId="0" fillId="0" borderId="0" xfId="0"/>
    <xf numFmtId="0" fontId="0" fillId="0" borderId="3" xfId="0" applyFill="1" applyBorder="1"/>
    <xf numFmtId="0" fontId="0" fillId="0" borderId="0" xfId="0" applyBorder="1"/>
    <xf numFmtId="0" fontId="0" fillId="0" borderId="9" xfId="0" applyBorder="1"/>
    <xf numFmtId="0" fontId="0" fillId="0" borderId="3" xfId="0" applyBorder="1"/>
    <xf numFmtId="0" fontId="1" fillId="0" borderId="3" xfId="214" applyBorder="1">
      <alignment vertical="top"/>
    </xf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1" fillId="0" borderId="0" xfId="0" applyFont="1"/>
    <xf numFmtId="0" fontId="1" fillId="0" borderId="0" xfId="193"/>
    <xf numFmtId="0" fontId="4" fillId="3" borderId="4" xfId="87" applyBorder="1">
      <alignment vertical="top"/>
    </xf>
    <xf numFmtId="0" fontId="1" fillId="3" borderId="11" xfId="193" applyFill="1" applyBorder="1"/>
    <xf numFmtId="0" fontId="1" fillId="3" borderId="12" xfId="193" applyFill="1" applyBorder="1"/>
    <xf numFmtId="0" fontId="4" fillId="3" borderId="3" xfId="87" applyFill="1" applyBorder="1">
      <alignment vertical="top"/>
    </xf>
    <xf numFmtId="0" fontId="1" fillId="3" borderId="0" xfId="193" applyFill="1" applyBorder="1"/>
    <xf numFmtId="0" fontId="5" fillId="3" borderId="0" xfId="224" applyFill="1" applyBorder="1">
      <alignment horizontal="left"/>
    </xf>
    <xf numFmtId="0" fontId="1" fillId="3" borderId="9" xfId="193" applyFill="1" applyBorder="1"/>
    <xf numFmtId="0" fontId="6" fillId="3" borderId="3" xfId="91" applyFill="1" applyBorder="1">
      <alignment vertical="top"/>
    </xf>
    <xf numFmtId="0" fontId="5" fillId="3" borderId="7" xfId="224" applyFill="1" applyBorder="1">
      <alignment horizontal="left"/>
    </xf>
    <xf numFmtId="0" fontId="5" fillId="3" borderId="8" xfId="226" applyFill="1" applyBorder="1">
      <alignment horizontal="center" wrapText="1"/>
    </xf>
    <xf numFmtId="0" fontId="5" fillId="3" borderId="10" xfId="226" applyFill="1" applyBorder="1">
      <alignment horizontal="center" wrapText="1"/>
    </xf>
    <xf numFmtId="0" fontId="1" fillId="0" borderId="3" xfId="193" applyFill="1" applyBorder="1"/>
    <xf numFmtId="0" fontId="1" fillId="0" borderId="0" xfId="193" applyBorder="1"/>
    <xf numFmtId="0" fontId="1" fillId="0" borderId="9" xfId="193" applyBorder="1"/>
    <xf numFmtId="164" fontId="1" fillId="0" borderId="0" xfId="27" applyBorder="1">
      <alignment vertical="top"/>
    </xf>
    <xf numFmtId="0" fontId="1" fillId="0" borderId="7" xfId="193" applyBorder="1"/>
    <xf numFmtId="0" fontId="1" fillId="0" borderId="8" xfId="193" applyBorder="1"/>
    <xf numFmtId="0" fontId="1" fillId="0" borderId="10" xfId="193" applyBorder="1"/>
    <xf numFmtId="0" fontId="4" fillId="3" borderId="4" xfId="84" applyFill="1" applyBorder="1">
      <alignment vertical="top"/>
    </xf>
    <xf numFmtId="0" fontId="0" fillId="3" borderId="11" xfId="0" applyFill="1" applyBorder="1"/>
    <xf numFmtId="0" fontId="0" fillId="3" borderId="12" xfId="0" applyFill="1" applyBorder="1"/>
    <xf numFmtId="0" fontId="4" fillId="3" borderId="3" xfId="84" applyFill="1" applyBorder="1">
      <alignment vertical="top"/>
    </xf>
    <xf numFmtId="0" fontId="0" fillId="3" borderId="0" xfId="0" applyFill="1" applyBorder="1"/>
    <xf numFmtId="0" fontId="0" fillId="3" borderId="9" xfId="0" applyFill="1" applyBorder="1"/>
    <xf numFmtId="0" fontId="5" fillId="3" borderId="3" xfId="224" applyFill="1" applyBorder="1">
      <alignment horizontal="left"/>
    </xf>
    <xf numFmtId="0" fontId="0" fillId="3" borderId="7" xfId="0" applyFill="1" applyBorder="1"/>
    <xf numFmtId="0" fontId="0" fillId="3" borderId="8" xfId="0" applyFill="1" applyBorder="1"/>
    <xf numFmtId="0" fontId="0" fillId="3" borderId="10" xfId="0" applyFill="1" applyBorder="1"/>
    <xf numFmtId="0" fontId="8" fillId="0" borderId="0" xfId="198">
      <alignment vertical="top"/>
    </xf>
    <xf numFmtId="0" fontId="1" fillId="0" borderId="0" xfId="216">
      <alignment horizontal="left" vertical="top" indent="1"/>
    </xf>
    <xf numFmtId="0" fontId="10" fillId="0" borderId="0" xfId="135">
      <alignment vertical="top" wrapText="1"/>
      <protection locked="0"/>
    </xf>
    <xf numFmtId="0" fontId="1" fillId="0" borderId="0" xfId="217">
      <alignment horizontal="left" vertical="top" indent="2"/>
    </xf>
    <xf numFmtId="0" fontId="1" fillId="0" borderId="0" xfId="216" applyBorder="1">
      <alignment horizontal="left" vertical="top" indent="1"/>
    </xf>
    <xf numFmtId="0" fontId="1" fillId="0" borderId="0" xfId="217" applyBorder="1">
      <alignment horizontal="left" vertical="top" indent="2"/>
    </xf>
    <xf numFmtId="0" fontId="8" fillId="3" borderId="3" xfId="0" applyFont="1" applyFill="1" applyBorder="1"/>
    <xf numFmtId="0" fontId="8" fillId="3" borderId="7" xfId="0" applyFont="1" applyFill="1" applyBorder="1"/>
    <xf numFmtId="0" fontId="1" fillId="0" borderId="3" xfId="0" applyFont="1" applyBorder="1"/>
    <xf numFmtId="170" fontId="10" fillId="0" borderId="9" xfId="118" applyBorder="1">
      <alignment vertical="top"/>
      <protection locked="0"/>
    </xf>
    <xf numFmtId="0" fontId="5" fillId="3" borderId="11" xfId="224" applyFill="1" applyBorder="1">
      <alignment horizontal="left"/>
    </xf>
    <xf numFmtId="0" fontId="6" fillId="3" borderId="3" xfId="90" applyFill="1" applyBorder="1">
      <alignment vertical="top"/>
    </xf>
    <xf numFmtId="0" fontId="5" fillId="3" borderId="7" xfId="225" applyFill="1" applyBorder="1">
      <alignment horizontal="center" wrapText="1"/>
    </xf>
    <xf numFmtId="0" fontId="5" fillId="3" borderId="8" xfId="225" applyFill="1" applyBorder="1">
      <alignment horizontal="center" wrapText="1"/>
    </xf>
    <xf numFmtId="0" fontId="5" fillId="3" borderId="10" xfId="225" applyFill="1" applyBorder="1">
      <alignment horizontal="center" wrapText="1"/>
    </xf>
    <xf numFmtId="0" fontId="0" fillId="0" borderId="0" xfId="0" applyFill="1"/>
    <xf numFmtId="0" fontId="8" fillId="0" borderId="0" xfId="0" applyFont="1" applyBorder="1"/>
    <xf numFmtId="0" fontId="8" fillId="0" borderId="0" xfId="0" applyFont="1"/>
    <xf numFmtId="0" fontId="8" fillId="0" borderId="0" xfId="0" quotePrefix="1" applyFont="1" applyFill="1" applyBorder="1"/>
    <xf numFmtId="0" fontId="0" fillId="0" borderId="0" xfId="0" quotePrefix="1" applyBorder="1"/>
    <xf numFmtId="0" fontId="0" fillId="0" borderId="0" xfId="0" applyFill="1" applyBorder="1"/>
    <xf numFmtId="0" fontId="8" fillId="0" borderId="0" xfId="0" quotePrefix="1" applyFont="1" applyBorder="1"/>
    <xf numFmtId="0" fontId="2" fillId="3" borderId="4" xfId="84" applyFont="1" applyFill="1" applyBorder="1">
      <alignment vertical="top"/>
    </xf>
    <xf numFmtId="0" fontId="18" fillId="0" borderId="0" xfId="195"/>
    <xf numFmtId="0" fontId="18" fillId="0" borderId="3" xfId="195" applyFill="1" applyBorder="1"/>
    <xf numFmtId="0" fontId="18" fillId="0" borderId="0" xfId="195" applyBorder="1"/>
    <xf numFmtId="0" fontId="18" fillId="0" borderId="9" xfId="195" applyBorder="1"/>
    <xf numFmtId="0" fontId="18" fillId="0" borderId="3" xfId="195" applyBorder="1"/>
    <xf numFmtId="0" fontId="18" fillId="0" borderId="7" xfId="195" applyBorder="1"/>
    <xf numFmtId="0" fontId="18" fillId="0" borderId="8" xfId="195" applyBorder="1"/>
    <xf numFmtId="0" fontId="18" fillId="0" borderId="10" xfId="195" applyBorder="1"/>
    <xf numFmtId="0" fontId="2" fillId="3" borderId="4" xfId="89" applyFill="1" applyBorder="1">
      <alignment vertical="top"/>
    </xf>
    <xf numFmtId="0" fontId="18" fillId="3" borderId="11" xfId="195" applyFill="1" applyBorder="1"/>
    <xf numFmtId="0" fontId="18" fillId="3" borderId="12" xfId="195" applyFill="1" applyBorder="1"/>
    <xf numFmtId="0" fontId="3" fillId="3" borderId="3" xfId="93" applyFill="1" applyBorder="1">
      <alignment vertical="top"/>
    </xf>
    <xf numFmtId="0" fontId="18" fillId="3" borderId="0" xfId="195" applyFill="1" applyBorder="1"/>
    <xf numFmtId="0" fontId="18" fillId="3" borderId="9" xfId="195" applyFill="1" applyBorder="1"/>
    <xf numFmtId="0" fontId="1" fillId="3" borderId="8" xfId="227" applyFill="1" applyBorder="1">
      <alignment horizontal="center" wrapText="1"/>
    </xf>
    <xf numFmtId="0" fontId="1" fillId="3" borderId="10" xfId="227" applyFill="1" applyBorder="1">
      <alignment horizontal="center" wrapText="1"/>
    </xf>
    <xf numFmtId="0" fontId="0" fillId="3" borderId="7" xfId="227" applyFont="1" applyFill="1" applyBorder="1">
      <alignment horizontal="center" wrapText="1"/>
    </xf>
    <xf numFmtId="0" fontId="0" fillId="3" borderId="8" xfId="227" applyFont="1" applyFill="1" applyBorder="1">
      <alignment horizontal="center" wrapText="1"/>
    </xf>
    <xf numFmtId="0" fontId="0" fillId="3" borderId="7" xfId="0" applyFill="1" applyBorder="1" applyAlignment="1">
      <alignment horizontal="center"/>
    </xf>
    <xf numFmtId="0" fontId="2" fillId="3" borderId="3" xfId="89" applyFill="1" applyBorder="1">
      <alignment vertical="top"/>
    </xf>
    <xf numFmtId="0" fontId="18" fillId="3" borderId="7" xfId="195" applyFill="1" applyBorder="1"/>
    <xf numFmtId="0" fontId="4" fillId="3" borderId="4" xfId="85" applyFill="1" applyBorder="1">
      <alignment vertical="top"/>
    </xf>
    <xf numFmtId="0" fontId="4" fillId="3" borderId="3" xfId="85" applyFill="1" applyBorder="1">
      <alignment vertical="top"/>
    </xf>
    <xf numFmtId="0" fontId="1" fillId="0" borderId="3" xfId="193" applyBorder="1"/>
    <xf numFmtId="0" fontId="17" fillId="3" borderId="3" xfId="193" applyFont="1" applyFill="1" applyBorder="1"/>
    <xf numFmtId="0" fontId="17" fillId="3" borderId="0" xfId="193" applyFont="1" applyFill="1" applyBorder="1"/>
    <xf numFmtId="0" fontId="17" fillId="3" borderId="9" xfId="193" applyFont="1" applyFill="1" applyBorder="1"/>
    <xf numFmtId="0" fontId="18" fillId="0" borderId="0" xfId="196"/>
    <xf numFmtId="1" fontId="18" fillId="0" borderId="6" xfId="196" applyNumberFormat="1" applyBorder="1" applyAlignment="1">
      <alignment horizontal="center"/>
    </xf>
    <xf numFmtId="1" fontId="18" fillId="0" borderId="13" xfId="196" applyNumberFormat="1" applyBorder="1" applyAlignment="1">
      <alignment horizontal="center"/>
    </xf>
    <xf numFmtId="1" fontId="18" fillId="0" borderId="14" xfId="196" applyNumberFormat="1" applyBorder="1" applyAlignment="1">
      <alignment horizontal="center"/>
    </xf>
    <xf numFmtId="1" fontId="18" fillId="0" borderId="15" xfId="196" applyNumberFormat="1" applyBorder="1" applyAlignment="1">
      <alignment horizontal="center"/>
    </xf>
    <xf numFmtId="1" fontId="18" fillId="0" borderId="16" xfId="196" applyNumberFormat="1" applyBorder="1" applyAlignment="1">
      <alignment horizontal="center"/>
    </xf>
    <xf numFmtId="1" fontId="18" fillId="0" borderId="5" xfId="196" applyNumberFormat="1" applyBorder="1" applyAlignment="1">
      <alignment horizontal="center"/>
    </xf>
    <xf numFmtId="1" fontId="18" fillId="0" borderId="0" xfId="196" applyNumberFormat="1" applyAlignment="1">
      <alignment horizontal="center"/>
    </xf>
    <xf numFmtId="1" fontId="18" fillId="0" borderId="17" xfId="196" applyNumberFormat="1" applyBorder="1" applyAlignment="1">
      <alignment horizontal="center"/>
    </xf>
    <xf numFmtId="0" fontId="18" fillId="5" borderId="18" xfId="196" applyFill="1" applyBorder="1" applyAlignment="1">
      <alignment horizontal="center"/>
    </xf>
    <xf numFmtId="0" fontId="18" fillId="5" borderId="19" xfId="196" applyFill="1" applyBorder="1" applyAlignment="1">
      <alignment horizontal="center"/>
    </xf>
    <xf numFmtId="0" fontId="18" fillId="5" borderId="13" xfId="196" applyFill="1" applyBorder="1" applyAlignment="1">
      <alignment horizontal="right"/>
    </xf>
    <xf numFmtId="1" fontId="18" fillId="0" borderId="19" xfId="196" applyNumberFormat="1" applyBorder="1" applyAlignment="1">
      <alignment horizontal="center"/>
    </xf>
    <xf numFmtId="0" fontId="18" fillId="5" borderId="16" xfId="196" applyFill="1" applyBorder="1" applyAlignment="1">
      <alignment horizontal="right"/>
    </xf>
    <xf numFmtId="1" fontId="18" fillId="0" borderId="2" xfId="196" applyNumberFormat="1" applyBorder="1" applyAlignment="1">
      <alignment horizontal="center"/>
    </xf>
    <xf numFmtId="0" fontId="18" fillId="5" borderId="17" xfId="196" applyFill="1" applyBorder="1" applyAlignment="1">
      <alignment horizontal="right"/>
    </xf>
    <xf numFmtId="1" fontId="18" fillId="0" borderId="20" xfId="196" applyNumberFormat="1" applyBorder="1" applyAlignment="1">
      <alignment horizontal="center"/>
    </xf>
    <xf numFmtId="0" fontId="5" fillId="3" borderId="12" xfId="224" applyFill="1" applyBorder="1">
      <alignment horizontal="left"/>
    </xf>
    <xf numFmtId="0" fontId="5" fillId="3" borderId="9" xfId="224" applyFill="1" applyBorder="1">
      <alignment horizontal="left"/>
    </xf>
    <xf numFmtId="0" fontId="8" fillId="0" borderId="0" xfId="196" applyFont="1"/>
    <xf numFmtId="0" fontId="18" fillId="0" borderId="3" xfId="196" applyBorder="1"/>
    <xf numFmtId="0" fontId="18" fillId="0" borderId="7" xfId="196" applyBorder="1"/>
    <xf numFmtId="0" fontId="18" fillId="0" borderId="8" xfId="196" applyBorder="1"/>
    <xf numFmtId="0" fontId="18" fillId="0" borderId="9" xfId="196" applyBorder="1"/>
    <xf numFmtId="0" fontId="18" fillId="0" borderId="10" xfId="196" applyBorder="1"/>
    <xf numFmtId="0" fontId="8" fillId="0" borderId="3" xfId="198" applyFill="1" applyBorder="1">
      <alignment vertical="top"/>
    </xf>
    <xf numFmtId="0" fontId="1" fillId="0" borderId="3" xfId="214" applyFill="1" applyBorder="1">
      <alignment vertical="top"/>
    </xf>
    <xf numFmtId="0" fontId="1" fillId="0" borderId="21" xfId="214" applyFill="1" applyBorder="1">
      <alignment vertical="top"/>
    </xf>
    <xf numFmtId="0" fontId="1" fillId="0" borderId="22" xfId="214" applyFill="1" applyBorder="1">
      <alignment vertical="top"/>
    </xf>
    <xf numFmtId="0" fontId="1" fillId="0" borderId="23" xfId="214" applyFill="1" applyBorder="1">
      <alignment vertical="top"/>
    </xf>
    <xf numFmtId="0" fontId="1" fillId="0" borderId="24" xfId="214" applyFill="1" applyBorder="1">
      <alignment vertical="top"/>
    </xf>
    <xf numFmtId="3" fontId="0" fillId="0" borderId="0" xfId="0" applyNumberFormat="1" applyBorder="1"/>
    <xf numFmtId="0" fontId="4" fillId="3" borderId="4" xfId="86">
      <alignment vertical="top"/>
    </xf>
    <xf numFmtId="0" fontId="5" fillId="3" borderId="0" xfId="224" applyFill="1">
      <alignment horizontal="left"/>
    </xf>
    <xf numFmtId="174" fontId="1" fillId="0" borderId="3" xfId="45" applyBorder="1">
      <alignment vertical="top"/>
    </xf>
    <xf numFmtId="168" fontId="1" fillId="0" borderId="0" xfId="37" applyBorder="1">
      <alignment vertical="top"/>
    </xf>
    <xf numFmtId="168" fontId="1" fillId="0" borderId="0" xfId="37" applyFill="1" applyBorder="1">
      <alignment vertical="top"/>
    </xf>
    <xf numFmtId="0" fontId="0" fillId="0" borderId="3" xfId="0" applyBorder="1" applyAlignment="1">
      <alignment horizontal="left"/>
    </xf>
    <xf numFmtId="0" fontId="1" fillId="0" borderId="0" xfId="0" applyFont="1" applyBorder="1"/>
    <xf numFmtId="0" fontId="0" fillId="0" borderId="25" xfId="0" applyBorder="1"/>
    <xf numFmtId="0" fontId="1" fillId="3" borderId="7" xfId="0" applyFont="1" applyFill="1" applyBorder="1"/>
    <xf numFmtId="0" fontId="19" fillId="0" borderId="0" xfId="197"/>
    <xf numFmtId="0" fontId="1" fillId="0" borderId="0" xfId="197" applyFont="1"/>
    <xf numFmtId="0" fontId="1" fillId="0" borderId="9" xfId="197" applyFont="1" applyBorder="1"/>
    <xf numFmtId="0" fontId="1" fillId="0" borderId="8" xfId="197" applyFont="1" applyBorder="1"/>
    <xf numFmtId="0" fontId="1" fillId="0" borderId="10" xfId="197" applyFont="1" applyBorder="1"/>
    <xf numFmtId="208" fontId="1" fillId="0" borderId="7" xfId="197" applyNumberFormat="1" applyFont="1" applyBorder="1"/>
    <xf numFmtId="0" fontId="5" fillId="3" borderId="7" xfId="226" applyFill="1" applyBorder="1">
      <alignment horizontal="center" wrapText="1"/>
    </xf>
    <xf numFmtId="3" fontId="1" fillId="0" borderId="0" xfId="193" applyNumberFormat="1" applyBorder="1"/>
    <xf numFmtId="0" fontId="1" fillId="0" borderId="5" xfId="0" applyFont="1" applyBorder="1"/>
    <xf numFmtId="209" fontId="0" fillId="0" borderId="5" xfId="0" applyNumberFormat="1" applyBorder="1"/>
    <xf numFmtId="209" fontId="0" fillId="0" borderId="0" xfId="0" applyNumberFormat="1" applyBorder="1"/>
    <xf numFmtId="0" fontId="0" fillId="0" borderId="26" xfId="0" applyBorder="1"/>
    <xf numFmtId="0" fontId="2" fillId="3" borderId="4" xfId="88" applyFill="1" applyBorder="1"/>
    <xf numFmtId="0" fontId="3" fillId="3" borderId="3" xfId="92" applyFill="1" applyBorder="1"/>
    <xf numFmtId="0" fontId="8" fillId="3" borderId="3" xfId="95" applyFill="1" applyBorder="1"/>
    <xf numFmtId="0" fontId="1" fillId="3" borderId="5" xfId="95" applyFont="1" applyFill="1" applyBorder="1" applyAlignment="1">
      <alignment horizontal="centerContinuous"/>
    </xf>
    <xf numFmtId="0" fontId="1" fillId="3" borderId="0" xfId="95" applyFont="1" applyFill="1" applyBorder="1" applyAlignment="1">
      <alignment horizontal="centerContinuous"/>
    </xf>
    <xf numFmtId="0" fontId="1" fillId="3" borderId="7" xfId="222" applyFill="1" applyBorder="1">
      <alignment horizontal="center"/>
    </xf>
    <xf numFmtId="0" fontId="1" fillId="3" borderId="26" xfId="222" applyFill="1" applyBorder="1">
      <alignment horizontal="center"/>
    </xf>
    <xf numFmtId="0" fontId="1" fillId="3" borderId="8" xfId="222" applyFill="1" applyBorder="1">
      <alignment horizontal="center"/>
    </xf>
    <xf numFmtId="0" fontId="1" fillId="3" borderId="10" xfId="222" applyFill="1" applyBorder="1">
      <alignment horizontal="center"/>
    </xf>
    <xf numFmtId="0" fontId="1" fillId="0" borderId="0" xfId="0" applyFont="1" applyFill="1" applyBorder="1"/>
    <xf numFmtId="0" fontId="1" fillId="0" borderId="3" xfId="216" applyFill="1" applyBorder="1">
      <alignment horizontal="left" vertical="top" indent="1"/>
    </xf>
    <xf numFmtId="164" fontId="10" fillId="0" borderId="0" xfId="107" applyFill="1" applyBorder="1">
      <alignment vertical="top"/>
      <protection locked="0"/>
    </xf>
    <xf numFmtId="164" fontId="1" fillId="0" borderId="0" xfId="27" applyFill="1" applyBorder="1">
      <alignment vertical="top"/>
    </xf>
    <xf numFmtId="0" fontId="1" fillId="0" borderId="7" xfId="216" applyFill="1" applyBorder="1">
      <alignment horizontal="left" vertical="top" indent="1"/>
    </xf>
    <xf numFmtId="164" fontId="10" fillId="0" borderId="8" xfId="107" applyFill="1" applyBorder="1">
      <alignment vertical="top"/>
      <protection locked="0"/>
    </xf>
    <xf numFmtId="164" fontId="1" fillId="0" borderId="8" xfId="27" applyFill="1" applyBorder="1">
      <alignment vertical="top"/>
    </xf>
    <xf numFmtId="0" fontId="5" fillId="3" borderId="7" xfId="224" applyFill="1" applyBorder="1" applyAlignment="1"/>
    <xf numFmtId="0" fontId="5" fillId="3" borderId="8" xfId="226" applyFill="1" applyBorder="1" applyAlignment="1">
      <alignment wrapText="1"/>
    </xf>
    <xf numFmtId="0" fontId="0" fillId="0" borderId="0" xfId="0" applyBorder="1" applyAlignment="1">
      <alignment wrapText="1"/>
    </xf>
    <xf numFmtId="0" fontId="8" fillId="0" borderId="0" xfId="0" quotePrefix="1" applyFont="1"/>
    <xf numFmtId="0" fontId="0" fillId="0" borderId="0" xfId="0" quotePrefix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6" borderId="0" xfId="193" applyFont="1" applyFill="1"/>
    <xf numFmtId="0" fontId="1" fillId="6" borderId="0" xfId="193" applyFill="1"/>
    <xf numFmtId="0" fontId="0" fillId="6" borderId="0" xfId="0" applyFill="1"/>
    <xf numFmtId="0" fontId="5" fillId="3" borderId="7" xfId="228" applyFont="1" applyFill="1" applyBorder="1">
      <alignment horizontal="center" wrapText="1"/>
    </xf>
    <xf numFmtId="0" fontId="5" fillId="3" borderId="8" xfId="228" applyFont="1" applyFill="1" applyBorder="1">
      <alignment horizontal="center" wrapText="1"/>
    </xf>
    <xf numFmtId="0" fontId="1" fillId="3" borderId="0" xfId="215" applyFont="1" applyFill="1" applyBorder="1">
      <alignment vertical="top"/>
    </xf>
    <xf numFmtId="0" fontId="1" fillId="3" borderId="7" xfId="215" applyFont="1" applyFill="1" applyBorder="1">
      <alignment vertical="top"/>
    </xf>
    <xf numFmtId="0" fontId="1" fillId="3" borderId="8" xfId="215" applyFont="1" applyFill="1" applyBorder="1">
      <alignment vertical="top"/>
    </xf>
    <xf numFmtId="0" fontId="1" fillId="3" borderId="0" xfId="215" applyFont="1" applyFill="1" applyBorder="1" applyAlignment="1">
      <alignment horizontal="centerContinuous" vertical="top"/>
    </xf>
    <xf numFmtId="0" fontId="1" fillId="3" borderId="3" xfId="215" applyFont="1" applyFill="1" applyBorder="1" applyAlignment="1">
      <alignment horizontal="centerContinuous" vertical="top"/>
    </xf>
    <xf numFmtId="0" fontId="1" fillId="6" borderId="0" xfId="197" applyFont="1" applyFill="1"/>
    <xf numFmtId="0" fontId="1" fillId="0" borderId="3" xfId="49" applyNumberFormat="1" applyBorder="1">
      <alignment vertical="top"/>
    </xf>
  </cellXfs>
  <cellStyles count="22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CalcComma0" xfId="13" xr:uid="{00000000-0005-0000-0000-00000C000000}"/>
    <cellStyle name="CalcComma1" xfId="14" xr:uid="{00000000-0005-0000-0000-00000D000000}"/>
    <cellStyle name="CalcComma2" xfId="15" xr:uid="{00000000-0005-0000-0000-00000E000000}"/>
    <cellStyle name="CalcComma3" xfId="16" xr:uid="{00000000-0005-0000-0000-00000F000000}"/>
    <cellStyle name="CalcComma4" xfId="17" xr:uid="{00000000-0005-0000-0000-000010000000}"/>
    <cellStyle name="CalcCurr0" xfId="18" xr:uid="{00000000-0005-0000-0000-000011000000}"/>
    <cellStyle name="CalcCurr1" xfId="19" xr:uid="{00000000-0005-0000-0000-000012000000}"/>
    <cellStyle name="CalcCurr2" xfId="20" xr:uid="{00000000-0005-0000-0000-000013000000}"/>
    <cellStyle name="CalcCurr3" xfId="21" xr:uid="{00000000-0005-0000-0000-000014000000}"/>
    <cellStyle name="CalcCurr4" xfId="22" xr:uid="{00000000-0005-0000-0000-000015000000}"/>
    <cellStyle name="CalComma0" xfId="23" xr:uid="{00000000-0005-0000-0000-000016000000}"/>
    <cellStyle name="CalcPercent0" xfId="24" xr:uid="{00000000-0005-0000-0000-000017000000}"/>
    <cellStyle name="CalcPercent1" xfId="25" xr:uid="{00000000-0005-0000-0000-000018000000}"/>
    <cellStyle name="CalcPercent2" xfId="26" xr:uid="{00000000-0005-0000-0000-000019000000}"/>
    <cellStyle name="cc0 -CalComma" xfId="27" xr:uid="{00000000-0005-0000-0000-00001A000000}"/>
    <cellStyle name="cc0 -CalComma 2" xfId="28" xr:uid="{00000000-0005-0000-0000-00001B000000}"/>
    <cellStyle name="cc0b-CalCommaB" xfId="29" xr:uid="{00000000-0005-0000-0000-00001C000000}"/>
    <cellStyle name="cc0k -CalCommaThousand" xfId="30" xr:uid="{00000000-0005-0000-0000-00001D000000}"/>
    <cellStyle name="cc0k -CalCommaThousand 2" xfId="31" xr:uid="{00000000-0005-0000-0000-00001E000000}"/>
    <cellStyle name="cc0k -CalCommaThousand 3" xfId="32" xr:uid="{00000000-0005-0000-0000-00001F000000}"/>
    <cellStyle name="cc0m -CalCommaMillion" xfId="33" xr:uid="{00000000-0005-0000-0000-000020000000}"/>
    <cellStyle name="cc0m -CalCommaMillion 2" xfId="34" xr:uid="{00000000-0005-0000-0000-000021000000}"/>
    <cellStyle name="cc0m -CalCommaMillion 3" xfId="35" xr:uid="{00000000-0005-0000-0000-000022000000}"/>
    <cellStyle name="cc1 -CalComma" xfId="36" xr:uid="{00000000-0005-0000-0000-000023000000}"/>
    <cellStyle name="cc2 -CalComma" xfId="37" xr:uid="{00000000-0005-0000-0000-000024000000}"/>
    <cellStyle name="cc3 -CalComma" xfId="38" xr:uid="{00000000-0005-0000-0000-000025000000}"/>
    <cellStyle name="cc4 -CalComma" xfId="39" xr:uid="{00000000-0005-0000-0000-000026000000}"/>
    <cellStyle name="cdDMM -CalDate" xfId="40" xr:uid="{00000000-0005-0000-0000-000027000000}"/>
    <cellStyle name="cdDMMY -CalDate" xfId="41" xr:uid="{00000000-0005-0000-0000-000028000000}"/>
    <cellStyle name="cdDMMYHM -CalDateTime" xfId="42" xr:uid="{00000000-0005-0000-0000-000029000000}"/>
    <cellStyle name="cdDMMYHM -CalDateTime 2" xfId="43" xr:uid="{00000000-0005-0000-0000-00002A000000}"/>
    <cellStyle name="cdDMMYHM -CalDateTime 3" xfId="44" xr:uid="{00000000-0005-0000-0000-00002B000000}"/>
    <cellStyle name="cdDMY -CalDate" xfId="45" xr:uid="{00000000-0005-0000-0000-00002C000000}"/>
    <cellStyle name="cdMDY -CalDate" xfId="46" xr:uid="{00000000-0005-0000-0000-00002D000000}"/>
    <cellStyle name="cdMMY -CalDate" xfId="47" xr:uid="{00000000-0005-0000-0000-00002E000000}"/>
    <cellStyle name="cdMMYc-CalDateC" xfId="48" xr:uid="{00000000-0005-0000-0000-00002F000000}"/>
    <cellStyle name="cf0 -CalFixed" xfId="49" xr:uid="{00000000-0005-0000-0000-000030000000}"/>
    <cellStyle name="cgl - GL code" xfId="50" xr:uid="{00000000-0005-0000-0000-000031000000}"/>
    <cellStyle name="cmHM  -CalTime" xfId="51" xr:uid="{00000000-0005-0000-0000-000032000000}"/>
    <cellStyle name="cmHM  -CalTime 2" xfId="52" xr:uid="{00000000-0005-0000-0000-000033000000}"/>
    <cellStyle name="cmHM  -CalTime 3" xfId="53" xr:uid="{00000000-0005-0000-0000-000034000000}"/>
    <cellStyle name="cmHM24+ -CalTime" xfId="54" xr:uid="{00000000-0005-0000-0000-000035000000}"/>
    <cellStyle name="cNL -NL code" xfId="55" xr:uid="{00000000-0005-0000-0000-000036000000}"/>
    <cellStyle name="cp0 -CalPercent" xfId="56" xr:uid="{00000000-0005-0000-0000-000037000000}"/>
    <cellStyle name="cp1 -CalPercent" xfId="57" xr:uid="{00000000-0005-0000-0000-000038000000}"/>
    <cellStyle name="cp2 -CalPercent" xfId="58" xr:uid="{00000000-0005-0000-0000-000039000000}"/>
    <cellStyle name="cp3 -CalPercent" xfId="59" xr:uid="{00000000-0005-0000-0000-00003A000000}"/>
    <cellStyle name="cr0 -CalCurr" xfId="60" xr:uid="{00000000-0005-0000-0000-00003B000000}"/>
    <cellStyle name="cr0 -CalCurr 2" xfId="61" xr:uid="{00000000-0005-0000-0000-00003C000000}"/>
    <cellStyle name="cr0 -CalCurr 3" xfId="62" xr:uid="{00000000-0005-0000-0000-00003D000000}"/>
    <cellStyle name="cr0b-CalCurrB" xfId="63" xr:uid="{00000000-0005-0000-0000-00003E000000}"/>
    <cellStyle name="cr0k -CalCurrThousand" xfId="64" xr:uid="{00000000-0005-0000-0000-00003F000000}"/>
    <cellStyle name="cr0k -CalCurrThousand 2" xfId="65" xr:uid="{00000000-0005-0000-0000-000040000000}"/>
    <cellStyle name="cr0k -CalCurrThousand 3" xfId="66" xr:uid="{00000000-0005-0000-0000-000041000000}"/>
    <cellStyle name="cr0m -CalCurrMillion" xfId="67" xr:uid="{00000000-0005-0000-0000-000042000000}"/>
    <cellStyle name="cr0m -CalCurrMillion 2" xfId="68" xr:uid="{00000000-0005-0000-0000-000043000000}"/>
    <cellStyle name="cr0m -CalCurrMillion 3" xfId="69" xr:uid="{00000000-0005-0000-0000-000044000000}"/>
    <cellStyle name="cr1 -CalCurr" xfId="70" xr:uid="{00000000-0005-0000-0000-000045000000}"/>
    <cellStyle name="cr1 -CalCurr 2" xfId="71" xr:uid="{00000000-0005-0000-0000-000046000000}"/>
    <cellStyle name="cr1 -CalCurr 3" xfId="72" xr:uid="{00000000-0005-0000-0000-000047000000}"/>
    <cellStyle name="cr2 -CalCurr" xfId="73" xr:uid="{00000000-0005-0000-0000-000048000000}"/>
    <cellStyle name="cr2 -CalCurr 2" xfId="74" xr:uid="{00000000-0005-0000-0000-000049000000}"/>
    <cellStyle name="cr2 -CalCurr 3" xfId="75" xr:uid="{00000000-0005-0000-0000-00004A000000}"/>
    <cellStyle name="cr3 -CalCurr" xfId="76" xr:uid="{00000000-0005-0000-0000-00004B000000}"/>
    <cellStyle name="cr3 -CalCurr 2" xfId="77" xr:uid="{00000000-0005-0000-0000-00004C000000}"/>
    <cellStyle name="cr3 -CalCurr 3" xfId="78" xr:uid="{00000000-0005-0000-0000-00004D000000}"/>
    <cellStyle name="cr4 -CalCurr" xfId="79" xr:uid="{00000000-0005-0000-0000-00004E000000}"/>
    <cellStyle name="cr4 -CalCurr 2" xfId="80" xr:uid="{00000000-0005-0000-0000-00004F000000}"/>
    <cellStyle name="cr4 -CalCurr 3" xfId="81" xr:uid="{00000000-0005-0000-0000-000050000000}"/>
    <cellStyle name="h0 -Heading" xfId="82" xr:uid="{00000000-0005-0000-0000-000051000000}"/>
    <cellStyle name="h0 -Heading 2" xfId="83" xr:uid="{00000000-0005-0000-0000-000052000000}"/>
    <cellStyle name="h1 -Heading" xfId="84" xr:uid="{00000000-0005-0000-0000-000053000000}"/>
    <cellStyle name="h1 -Heading 2" xfId="85" xr:uid="{00000000-0005-0000-0000-000054000000}"/>
    <cellStyle name="h1 -Heading 2 2" xfId="86" xr:uid="{00000000-0005-0000-0000-000055000000}"/>
    <cellStyle name="h1 -Heading 3" xfId="87" xr:uid="{00000000-0005-0000-0000-000056000000}"/>
    <cellStyle name="h1 -Heading 3 2" xfId="88" xr:uid="{00000000-0005-0000-0000-000057000000}"/>
    <cellStyle name="h1 -Heading 4" xfId="89" xr:uid="{00000000-0005-0000-0000-000058000000}"/>
    <cellStyle name="h2 -Heading" xfId="90" xr:uid="{00000000-0005-0000-0000-000059000000}"/>
    <cellStyle name="h2 -Heading 2" xfId="91" xr:uid="{00000000-0005-0000-0000-00005A000000}"/>
    <cellStyle name="h2 -Heading 2 2" xfId="92" xr:uid="{00000000-0005-0000-0000-00005B000000}"/>
    <cellStyle name="h2 -Heading 3" xfId="93" xr:uid="{00000000-0005-0000-0000-00005C000000}"/>
    <cellStyle name="h3 -Heading" xfId="94" xr:uid="{00000000-0005-0000-0000-00005D000000}"/>
    <cellStyle name="h3 -Heading 2" xfId="95" xr:uid="{00000000-0005-0000-0000-00005E000000}"/>
    <cellStyle name="h3 -Heading 3" xfId="96" xr:uid="{00000000-0005-0000-0000-00005F000000}"/>
    <cellStyle name="Heading1" xfId="97" xr:uid="{00000000-0005-0000-0000-000060000000}"/>
    <cellStyle name="Heading2" xfId="98" xr:uid="{00000000-0005-0000-0000-000061000000}"/>
    <cellStyle name="Heading3" xfId="99" xr:uid="{00000000-0005-0000-0000-000062000000}"/>
    <cellStyle name="Heading4" xfId="100" xr:uid="{00000000-0005-0000-0000-000063000000}"/>
    <cellStyle name="HeadingMonth" xfId="101" xr:uid="{00000000-0005-0000-0000-000064000000}"/>
    <cellStyle name="hp0 -Hyperlink" xfId="102" xr:uid="{00000000-0005-0000-0000-000065000000}"/>
    <cellStyle name="hp1 -Hyperlink" xfId="103" xr:uid="{00000000-0005-0000-0000-000066000000}"/>
    <cellStyle name="hp2 -Hyperlink" xfId="104" xr:uid="{00000000-0005-0000-0000-000067000000}"/>
    <cellStyle name="hp3 -Hyperlink" xfId="105" xr:uid="{00000000-0005-0000-0000-000068000000}"/>
    <cellStyle name="Hyperlink 2" xfId="106" xr:uid="{00000000-0005-0000-0000-000069000000}"/>
    <cellStyle name="ic0 -InpComma" xfId="107" xr:uid="{00000000-0005-0000-0000-00006A000000}"/>
    <cellStyle name="ic0 -InpComma 2" xfId="108" xr:uid="{00000000-0005-0000-0000-00006B000000}"/>
    <cellStyle name="ic0k -InpCommaThousand" xfId="109" xr:uid="{00000000-0005-0000-0000-00006C000000}"/>
    <cellStyle name="ic0k -InpCommaThousand 2" xfId="110" xr:uid="{00000000-0005-0000-0000-00006D000000}"/>
    <cellStyle name="ic0k -InpCommaThousand 3" xfId="111" xr:uid="{00000000-0005-0000-0000-00006E000000}"/>
    <cellStyle name="ic0m -InpCommaMillion" xfId="112" xr:uid="{00000000-0005-0000-0000-00006F000000}"/>
    <cellStyle name="ic0m -InpCommaMillion 2" xfId="113" xr:uid="{00000000-0005-0000-0000-000070000000}"/>
    <cellStyle name="ic0m -InpCommaMillion 3" xfId="114" xr:uid="{00000000-0005-0000-0000-000071000000}"/>
    <cellStyle name="ic1 -InpComma" xfId="115" xr:uid="{00000000-0005-0000-0000-000072000000}"/>
    <cellStyle name="ic2 -InpComma" xfId="116" xr:uid="{00000000-0005-0000-0000-000073000000}"/>
    <cellStyle name="ic3 -InpComma" xfId="117" xr:uid="{00000000-0005-0000-0000-000074000000}"/>
    <cellStyle name="ic4 -InpComma" xfId="118" xr:uid="{00000000-0005-0000-0000-000075000000}"/>
    <cellStyle name="ic4 -InpComma 2" xfId="119" xr:uid="{00000000-0005-0000-0000-000076000000}"/>
    <cellStyle name="idDMM -InpDate" xfId="120" xr:uid="{00000000-0005-0000-0000-000077000000}"/>
    <cellStyle name="idDMMY -InpDate" xfId="121" xr:uid="{00000000-0005-0000-0000-000078000000}"/>
    <cellStyle name="idDMMYHM -InpDateTime" xfId="122" xr:uid="{00000000-0005-0000-0000-000079000000}"/>
    <cellStyle name="idDMMYHM -InpDateTime 2" xfId="123" xr:uid="{00000000-0005-0000-0000-00007A000000}"/>
    <cellStyle name="idDMMYHM -InpDateTime 3" xfId="124" xr:uid="{00000000-0005-0000-0000-00007B000000}"/>
    <cellStyle name="idDMY -InpDate" xfId="125" xr:uid="{00000000-0005-0000-0000-00007C000000}"/>
    <cellStyle name="idMDY -InpDate" xfId="126" xr:uid="{00000000-0005-0000-0000-00007D000000}"/>
    <cellStyle name="idMMY -InpDate" xfId="127" xr:uid="{00000000-0005-0000-0000-00007E000000}"/>
    <cellStyle name="if0 -InpFixed" xfId="128" xr:uid="{00000000-0005-0000-0000-00007F000000}"/>
    <cellStyle name="if0 -InpFixed 2" xfId="129" xr:uid="{00000000-0005-0000-0000-000080000000}"/>
    <cellStyle name="if0b-InpFixedB" xfId="130" xr:uid="{00000000-0005-0000-0000-000081000000}"/>
    <cellStyle name="if0-InpFixed" xfId="131" xr:uid="{00000000-0005-0000-0000-000082000000}"/>
    <cellStyle name="if0-InpFixed 2" xfId="132" xr:uid="{00000000-0005-0000-0000-000083000000}"/>
    <cellStyle name="iln -InpTableTextNoWrap" xfId="133" xr:uid="{00000000-0005-0000-0000-000084000000}"/>
    <cellStyle name="ilnb-InpTableTextNoWrapB" xfId="134" xr:uid="{00000000-0005-0000-0000-000085000000}"/>
    <cellStyle name="ilw -InpTableTextWrap" xfId="135" xr:uid="{00000000-0005-0000-0000-000086000000}"/>
    <cellStyle name="ilw -InpTableTextWrap 2" xfId="136" xr:uid="{00000000-0005-0000-0000-000087000000}"/>
    <cellStyle name="imHM  -InpTime" xfId="137" xr:uid="{00000000-0005-0000-0000-000088000000}"/>
    <cellStyle name="imHM  -InpTime 2" xfId="138" xr:uid="{00000000-0005-0000-0000-000089000000}"/>
    <cellStyle name="imHM  -InpTime 3" xfId="139" xr:uid="{00000000-0005-0000-0000-00008A000000}"/>
    <cellStyle name="imHM24+ -InpTime" xfId="140" xr:uid="{00000000-0005-0000-0000-00008B000000}"/>
    <cellStyle name="InpComma0" xfId="141" xr:uid="{00000000-0005-0000-0000-00008C000000}"/>
    <cellStyle name="InpComma1" xfId="142" xr:uid="{00000000-0005-0000-0000-00008D000000}"/>
    <cellStyle name="InpComma2" xfId="143" xr:uid="{00000000-0005-0000-0000-00008E000000}"/>
    <cellStyle name="InpComma3" xfId="144" xr:uid="{00000000-0005-0000-0000-00008F000000}"/>
    <cellStyle name="InpComma4" xfId="145" xr:uid="{00000000-0005-0000-0000-000090000000}"/>
    <cellStyle name="InpCurr0" xfId="146" xr:uid="{00000000-0005-0000-0000-000091000000}"/>
    <cellStyle name="InpCurr1" xfId="147" xr:uid="{00000000-0005-0000-0000-000092000000}"/>
    <cellStyle name="InpCurr2" xfId="148" xr:uid="{00000000-0005-0000-0000-000093000000}"/>
    <cellStyle name="InpCurr3" xfId="149" xr:uid="{00000000-0005-0000-0000-000094000000}"/>
    <cellStyle name="InpCurr4" xfId="150" xr:uid="{00000000-0005-0000-0000-000095000000}"/>
    <cellStyle name="InpDate" xfId="151" xr:uid="{00000000-0005-0000-0000-000096000000}"/>
    <cellStyle name="InpPct1" xfId="152" xr:uid="{00000000-0005-0000-0000-000097000000}"/>
    <cellStyle name="InpPercent0" xfId="153" xr:uid="{00000000-0005-0000-0000-000098000000}"/>
    <cellStyle name="InpPercent1" xfId="154" xr:uid="{00000000-0005-0000-0000-000099000000}"/>
    <cellStyle name="InpPercent2" xfId="155" xr:uid="{00000000-0005-0000-0000-00009A000000}"/>
    <cellStyle name="InpText" xfId="156" xr:uid="{00000000-0005-0000-0000-00009B000000}"/>
    <cellStyle name="ip0 -InpPercent" xfId="157" xr:uid="{00000000-0005-0000-0000-00009C000000}"/>
    <cellStyle name="ip1 -InpPercent" xfId="158" xr:uid="{00000000-0005-0000-0000-00009D000000}"/>
    <cellStyle name="ip2 -InpPercent" xfId="159" xr:uid="{00000000-0005-0000-0000-00009E000000}"/>
    <cellStyle name="ip3 -InpPercent" xfId="160" xr:uid="{00000000-0005-0000-0000-00009F000000}"/>
    <cellStyle name="ir0 -InpCurr" xfId="161" xr:uid="{00000000-0005-0000-0000-0000A0000000}"/>
    <cellStyle name="ir0 -InpCurr 2" xfId="162" xr:uid="{00000000-0005-0000-0000-0000A1000000}"/>
    <cellStyle name="ir0 -InpCurr 3" xfId="163" xr:uid="{00000000-0005-0000-0000-0000A2000000}"/>
    <cellStyle name="ir0k -InpCurrThousand" xfId="164" xr:uid="{00000000-0005-0000-0000-0000A3000000}"/>
    <cellStyle name="ir0k -InpCurrThousand 2" xfId="165" xr:uid="{00000000-0005-0000-0000-0000A4000000}"/>
    <cellStyle name="ir0k -InpCurrThousand 3" xfId="166" xr:uid="{00000000-0005-0000-0000-0000A5000000}"/>
    <cellStyle name="ir0m -InpCurrMillion" xfId="167" xr:uid="{00000000-0005-0000-0000-0000A6000000}"/>
    <cellStyle name="ir0m -InpCurrMillion 2" xfId="168" xr:uid="{00000000-0005-0000-0000-0000A7000000}"/>
    <cellStyle name="ir0m -InpCurrMillion 3" xfId="169" xr:uid="{00000000-0005-0000-0000-0000A8000000}"/>
    <cellStyle name="ir1 -InpCurr" xfId="170" xr:uid="{00000000-0005-0000-0000-0000A9000000}"/>
    <cellStyle name="ir1 -InpCurr 2" xfId="171" xr:uid="{00000000-0005-0000-0000-0000AA000000}"/>
    <cellStyle name="ir1 -InpCurr 3" xfId="172" xr:uid="{00000000-0005-0000-0000-0000AB000000}"/>
    <cellStyle name="ir2 -InpCurr" xfId="173" xr:uid="{00000000-0005-0000-0000-0000AC000000}"/>
    <cellStyle name="ir2 -InpCurr 2" xfId="174" xr:uid="{00000000-0005-0000-0000-0000AD000000}"/>
    <cellStyle name="ir2 -InpCurr 3" xfId="175" xr:uid="{00000000-0005-0000-0000-0000AE000000}"/>
    <cellStyle name="ir3 -InpCurr" xfId="176" xr:uid="{00000000-0005-0000-0000-0000AF000000}"/>
    <cellStyle name="ir3 -InpCurr 2" xfId="177" xr:uid="{00000000-0005-0000-0000-0000B0000000}"/>
    <cellStyle name="ir3 -InpCurr 3" xfId="178" xr:uid="{00000000-0005-0000-0000-0000B1000000}"/>
    <cellStyle name="ir4 -InpCurr" xfId="179" xr:uid="{00000000-0005-0000-0000-0000B2000000}"/>
    <cellStyle name="ir4 -InpCurr 2" xfId="180" xr:uid="{00000000-0005-0000-0000-0000B3000000}"/>
    <cellStyle name="ir4 -InpCurr 3" xfId="181" xr:uid="{00000000-0005-0000-0000-0000B4000000}"/>
    <cellStyle name="is0 -InpSideText" xfId="182" xr:uid="{00000000-0005-0000-0000-0000B5000000}"/>
    <cellStyle name="is0 -InpSideText 2" xfId="183" xr:uid="{00000000-0005-0000-0000-0000B6000000}"/>
    <cellStyle name="is1 -InpSideText" xfId="184" xr:uid="{00000000-0005-0000-0000-0000B7000000}"/>
    <cellStyle name="is2 -InpSideText" xfId="185" xr:uid="{00000000-0005-0000-0000-0000B8000000}"/>
    <cellStyle name="is3 -InpSideText" xfId="186" xr:uid="{00000000-0005-0000-0000-0000B9000000}"/>
    <cellStyle name="is4 -InpSideText" xfId="187" xr:uid="{00000000-0005-0000-0000-0000BA000000}"/>
    <cellStyle name="itn -InpTopTextNoWrap" xfId="188" xr:uid="{00000000-0005-0000-0000-0000BB000000}"/>
    <cellStyle name="itw -InpTopTextWrap" xfId="189" xr:uid="{00000000-0005-0000-0000-0000BC000000}"/>
    <cellStyle name="ltn -TableTextNoWrap" xfId="190" xr:uid="{00000000-0005-0000-0000-0000BD000000}"/>
    <cellStyle name="ltnb-TableTextNoWrapB" xfId="191" xr:uid="{00000000-0005-0000-0000-0000BE000000}"/>
    <cellStyle name="ltw -TableTextWrap" xfId="192" xr:uid="{00000000-0005-0000-0000-0000BF000000}"/>
    <cellStyle name="Normal" xfId="0" builtinId="0"/>
    <cellStyle name="Normal 2" xfId="193" xr:uid="{00000000-0005-0000-0000-0000C1000000}"/>
    <cellStyle name="Normal 3" xfId="194" xr:uid="{00000000-0005-0000-0000-0000C2000000}"/>
    <cellStyle name="Normal 4" xfId="195" xr:uid="{00000000-0005-0000-0000-0000C3000000}"/>
    <cellStyle name="Normal 5" xfId="196" xr:uid="{00000000-0005-0000-0000-0000C4000000}"/>
    <cellStyle name="Normal 6" xfId="197" xr:uid="{00000000-0005-0000-0000-0000C5000000}"/>
    <cellStyle name="sh0 -SideHeading" xfId="198" xr:uid="{00000000-0005-0000-0000-0000C6000000}"/>
    <cellStyle name="sh0 -SideHeading 2" xfId="199" xr:uid="{00000000-0005-0000-0000-0000C7000000}"/>
    <cellStyle name="sh0 -SideHeading 3" xfId="200" xr:uid="{00000000-0005-0000-0000-0000C8000000}"/>
    <cellStyle name="sh1 -SideHeading" xfId="201" xr:uid="{00000000-0005-0000-0000-0000C9000000}"/>
    <cellStyle name="sh1 -SideHeading 2" xfId="202" xr:uid="{00000000-0005-0000-0000-0000CA000000}"/>
    <cellStyle name="sh1 -SideHeading 3" xfId="203" xr:uid="{00000000-0005-0000-0000-0000CB000000}"/>
    <cellStyle name="sh2 -SideHeading" xfId="204" xr:uid="{00000000-0005-0000-0000-0000CC000000}"/>
    <cellStyle name="sh2 -SideHeading 2" xfId="205" xr:uid="{00000000-0005-0000-0000-0000CD000000}"/>
    <cellStyle name="sh2 -SideHeading 3" xfId="206" xr:uid="{00000000-0005-0000-0000-0000CE000000}"/>
    <cellStyle name="sh3 -SideHeading" xfId="207" xr:uid="{00000000-0005-0000-0000-0000CF000000}"/>
    <cellStyle name="sh3 -SideHeading 2" xfId="208" xr:uid="{00000000-0005-0000-0000-0000D0000000}"/>
    <cellStyle name="sh3 -SideHeading 3" xfId="209" xr:uid="{00000000-0005-0000-0000-0000D1000000}"/>
    <cellStyle name="SideText0" xfId="210" xr:uid="{00000000-0005-0000-0000-0000D2000000}"/>
    <cellStyle name="SideText1" xfId="211" xr:uid="{00000000-0005-0000-0000-0000D3000000}"/>
    <cellStyle name="SideText2" xfId="212" xr:uid="{00000000-0005-0000-0000-0000D4000000}"/>
    <cellStyle name="SideText3" xfId="213" xr:uid="{00000000-0005-0000-0000-0000D5000000}"/>
    <cellStyle name="st0 -SideText" xfId="214" xr:uid="{00000000-0005-0000-0000-0000D6000000}"/>
    <cellStyle name="st0b-SideTextB" xfId="215" xr:uid="{00000000-0005-0000-0000-0000D7000000}"/>
    <cellStyle name="st1 -SideText" xfId="216" xr:uid="{00000000-0005-0000-0000-0000D8000000}"/>
    <cellStyle name="st2 -SideText" xfId="217" xr:uid="{00000000-0005-0000-0000-0000D9000000}"/>
    <cellStyle name="st3 -SideText" xfId="218" xr:uid="{00000000-0005-0000-0000-0000DA000000}"/>
    <cellStyle name="st4 -SideText" xfId="219" xr:uid="{00000000-0005-0000-0000-0000DB000000}"/>
    <cellStyle name="tdMMYc-TopDateC" xfId="220" xr:uid="{00000000-0005-0000-0000-0000DC000000}"/>
    <cellStyle name="ttn -TopTextNoWrap" xfId="221" xr:uid="{00000000-0005-0000-0000-0000DD000000}"/>
    <cellStyle name="ttn -TopTextNoWrap 2" xfId="222" xr:uid="{00000000-0005-0000-0000-0000DE000000}"/>
    <cellStyle name="ttnb-TopTextNoWrapB" xfId="223" xr:uid="{00000000-0005-0000-0000-0000DF000000}"/>
    <cellStyle name="ttnl -TopTextNoWrapL" xfId="224" xr:uid="{00000000-0005-0000-0000-0000E0000000}"/>
    <cellStyle name="ttw -TopTextWrap" xfId="225" xr:uid="{00000000-0005-0000-0000-0000E1000000}"/>
    <cellStyle name="ttw -TopTextWrap 2" xfId="226" xr:uid="{00000000-0005-0000-0000-0000E2000000}"/>
    <cellStyle name="ttw -TopTextWrap 3" xfId="227" xr:uid="{00000000-0005-0000-0000-0000E3000000}"/>
    <cellStyle name="ttwb-TopTextWrapB" xfId="228" xr:uid="{00000000-0005-0000-0000-0000E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131762</xdr:colOff>
      <xdr:row>13</xdr:row>
      <xdr:rowOff>60325</xdr:rowOff>
    </xdr:from>
    <xdr:to>
      <xdr:col>13</xdr:col>
      <xdr:colOff>309562</xdr:colOff>
      <xdr:row>15</xdr:row>
      <xdr:rowOff>28575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99545A17-646D-0781-7E68-11B1B37EA65E}"/>
            </a:ext>
          </a:extLst>
        </xdr:cNvPr>
        <xdr:cNvCxnSpPr/>
      </xdr:nvCxnSpPr>
      <xdr:spPr>
        <a:xfrm>
          <a:off x="1010920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88900</xdr:colOff>
      <xdr:row>13</xdr:row>
      <xdr:rowOff>79375</xdr:rowOff>
    </xdr:from>
    <xdr:to>
      <xdr:col>14</xdr:col>
      <xdr:colOff>266700</xdr:colOff>
      <xdr:row>15</xdr:row>
      <xdr:rowOff>47625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14EF6274-B947-C087-EFDE-D57D9DD88DD5}"/>
            </a:ext>
          </a:extLst>
        </xdr:cNvPr>
        <xdr:cNvCxnSpPr/>
      </xdr:nvCxnSpPr>
      <xdr:spPr>
        <a:xfrm>
          <a:off x="11075988" y="191770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55562</xdr:colOff>
      <xdr:row>13</xdr:row>
      <xdr:rowOff>60325</xdr:rowOff>
    </xdr:from>
    <xdr:to>
      <xdr:col>12</xdr:col>
      <xdr:colOff>233362</xdr:colOff>
      <xdr:row>15</xdr:row>
      <xdr:rowOff>28575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28B903B2-1110-FC11-419E-A943E37414FD}"/>
            </a:ext>
          </a:extLst>
        </xdr:cNvPr>
        <xdr:cNvCxnSpPr/>
      </xdr:nvCxnSpPr>
      <xdr:spPr>
        <a:xfrm>
          <a:off x="906145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66674</xdr:rowOff>
    </xdr:from>
    <xdr:to>
      <xdr:col>12</xdr:col>
      <xdr:colOff>782320</xdr:colOff>
      <xdr:row>13</xdr:row>
      <xdr:rowOff>61912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E1280F00-1716-012C-E9F7-9361E30382C5}"/>
            </a:ext>
          </a:extLst>
        </xdr:cNvPr>
        <xdr:cNvSpPr txBox="1"/>
      </xdr:nvSpPr>
      <xdr:spPr>
        <a:xfrm>
          <a:off x="9005888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=UPPER(K16)</a:t>
          </a:r>
        </a:p>
      </xdr:txBody>
    </xdr:sp>
    <xdr:clientData/>
  </xdr:twoCellAnchor>
  <xdr:twoCellAnchor>
    <xdr:from>
      <xdr:col>13</xdr:col>
      <xdr:colOff>1000125</xdr:colOff>
      <xdr:row>12</xdr:row>
      <xdr:rowOff>66674</xdr:rowOff>
    </xdr:from>
    <xdr:to>
      <xdr:col>14</xdr:col>
      <xdr:colOff>827405</xdr:colOff>
      <xdr:row>13</xdr:row>
      <xdr:rowOff>61912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52DAEF52-D291-7DB1-3DF1-B29312828425}"/>
            </a:ext>
          </a:extLst>
        </xdr:cNvPr>
        <xdr:cNvSpPr txBox="1"/>
      </xdr:nvSpPr>
      <xdr:spPr>
        <a:xfrm>
          <a:off x="10977563" y="1738312"/>
          <a:ext cx="83693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=PROPER(K16)</a:t>
          </a:r>
        </a:p>
      </xdr:txBody>
    </xdr:sp>
    <xdr:clientData/>
  </xdr:twoCellAnchor>
  <xdr:twoCellAnchor>
    <xdr:from>
      <xdr:col>12</xdr:col>
      <xdr:colOff>947738</xdr:colOff>
      <xdr:row>12</xdr:row>
      <xdr:rowOff>66674</xdr:rowOff>
    </xdr:from>
    <xdr:to>
      <xdr:col>13</xdr:col>
      <xdr:colOff>758508</xdr:colOff>
      <xdr:row>13</xdr:row>
      <xdr:rowOff>61912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BBCC62FC-3B4A-8903-81D3-814ABFA610C7}"/>
            </a:ext>
          </a:extLst>
        </xdr:cNvPr>
        <xdr:cNvSpPr txBox="1"/>
      </xdr:nvSpPr>
      <xdr:spPr>
        <a:xfrm>
          <a:off x="9953626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=LOWER(K16)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291824</xdr:colOff>
      <xdr:row>13</xdr:row>
      <xdr:rowOff>47073</xdr:rowOff>
    </xdr:from>
    <xdr:to>
      <xdr:col>14</xdr:col>
      <xdr:colOff>470038</xdr:colOff>
      <xdr:row>15</xdr:row>
      <xdr:rowOff>21950</xdr:rowOff>
    </xdr:to>
    <xdr:cxnSp macro="">
      <xdr:nvCxnSpPr>
        <xdr:cNvPr id="7" name="ESPTextArrowA3">
          <a:extLst>
            <a:ext uri="{FF2B5EF4-FFF2-40B4-BE49-F238E27FC236}">
              <a16:creationId xmlns:a16="http://schemas.microsoft.com/office/drawing/2014/main" id="{6100993F-AF18-BA4B-96FF-BF944709F8EC}"/>
            </a:ext>
          </a:extLst>
        </xdr:cNvPr>
        <xdr:cNvCxnSpPr/>
      </xdr:nvCxnSpPr>
      <xdr:spPr>
        <a:xfrm>
          <a:off x="10682357" y="1881671"/>
          <a:ext cx="178214" cy="181942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240265</xdr:colOff>
      <xdr:row>13</xdr:row>
      <xdr:rowOff>32716</xdr:rowOff>
    </xdr:from>
    <xdr:to>
      <xdr:col>13</xdr:col>
      <xdr:colOff>414131</xdr:colOff>
      <xdr:row>15</xdr:row>
      <xdr:rowOff>20707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4A6CB26F-FE10-93F9-0488-307E5D99AADF}"/>
            </a:ext>
          </a:extLst>
        </xdr:cNvPr>
        <xdr:cNvCxnSpPr>
          <a:stCxn id="5" idx="2"/>
        </xdr:cNvCxnSpPr>
      </xdr:nvCxnSpPr>
      <xdr:spPr>
        <a:xfrm>
          <a:off x="10038591" y="1867314"/>
          <a:ext cx="173866" cy="19505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36512</xdr:colOff>
      <xdr:row>13</xdr:row>
      <xdr:rowOff>46037</xdr:rowOff>
    </xdr:from>
    <xdr:to>
      <xdr:col>12</xdr:col>
      <xdr:colOff>214312</xdr:colOff>
      <xdr:row>15</xdr:row>
      <xdr:rowOff>14287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ABA4F52B-072A-754D-AACE-B4168D036A41}"/>
            </a:ext>
          </a:extLst>
        </xdr:cNvPr>
        <xdr:cNvCxnSpPr/>
      </xdr:nvCxnSpPr>
      <xdr:spPr>
        <a:xfrm>
          <a:off x="8961437" y="1884362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676275</xdr:colOff>
      <xdr:row>12</xdr:row>
      <xdr:rowOff>33337</xdr:rowOff>
    </xdr:from>
    <xdr:to>
      <xdr:col>12</xdr:col>
      <xdr:colOff>699135</xdr:colOff>
      <xdr:row>13</xdr:row>
      <xdr:rowOff>28575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32E73F2E-EE81-05D8-2E0F-EA8C2076E191}"/>
            </a:ext>
          </a:extLst>
        </xdr:cNvPr>
        <xdr:cNvSpPr txBox="1"/>
      </xdr:nvSpPr>
      <xdr:spPr>
        <a:xfrm>
          <a:off x="8896350" y="1704975"/>
          <a:ext cx="72771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=TRIM(K16)</a:t>
          </a:r>
        </a:p>
      </xdr:txBody>
    </xdr:sp>
    <xdr:clientData/>
  </xdr:twoCellAnchor>
  <xdr:twoCellAnchor>
    <xdr:from>
      <xdr:col>12</xdr:col>
      <xdr:colOff>761170</xdr:colOff>
      <xdr:row>12</xdr:row>
      <xdr:rowOff>34373</xdr:rowOff>
    </xdr:from>
    <xdr:to>
      <xdr:col>13</xdr:col>
      <xdr:colOff>576609</xdr:colOff>
      <xdr:row>13</xdr:row>
      <xdr:rowOff>32716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489017C1-2A04-3C0D-46A6-FA2861499EEC}"/>
            </a:ext>
          </a:extLst>
        </xdr:cNvPr>
        <xdr:cNvSpPr txBox="1"/>
      </xdr:nvSpPr>
      <xdr:spPr>
        <a:xfrm>
          <a:off x="9702247" y="1703319"/>
          <a:ext cx="672688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=LEN(K16)</a:t>
          </a:r>
        </a:p>
      </xdr:txBody>
    </xdr:sp>
    <xdr:clientData/>
  </xdr:twoCellAnchor>
  <xdr:twoCellAnchor>
    <xdr:from>
      <xdr:col>14</xdr:col>
      <xdr:colOff>6212</xdr:colOff>
      <xdr:row>12</xdr:row>
      <xdr:rowOff>42656</xdr:rowOff>
    </xdr:from>
    <xdr:to>
      <xdr:col>15</xdr:col>
      <xdr:colOff>88763</xdr:colOff>
      <xdr:row>13</xdr:row>
      <xdr:rowOff>40999</xdr:rowOff>
    </xdr:to>
    <xdr:sp macro="" textlink="">
      <xdr:nvSpPr>
        <xdr:cNvPr id="8" name="ESPTextArrowT3">
          <a:extLst>
            <a:ext uri="{FF2B5EF4-FFF2-40B4-BE49-F238E27FC236}">
              <a16:creationId xmlns:a16="http://schemas.microsoft.com/office/drawing/2014/main" id="{13B3F62E-D5AC-6CE5-84D4-315C630A73D4}"/>
            </a:ext>
          </a:extLst>
        </xdr:cNvPr>
        <xdr:cNvSpPr txBox="1"/>
      </xdr:nvSpPr>
      <xdr:spPr>
        <a:xfrm>
          <a:off x="10396745" y="1711602"/>
          <a:ext cx="674757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=LEN(M16)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469900</xdr:colOff>
      <xdr:row>15</xdr:row>
      <xdr:rowOff>117475</xdr:rowOff>
    </xdr:from>
    <xdr:to>
      <xdr:col>16</xdr:col>
      <xdr:colOff>152400</xdr:colOff>
      <xdr:row>17</xdr:row>
      <xdr:rowOff>9525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B363FEAF-5229-DF54-77BE-40C54C201ECB}"/>
            </a:ext>
          </a:extLst>
        </xdr:cNvPr>
        <xdr:cNvCxnSpPr/>
      </xdr:nvCxnSpPr>
      <xdr:spPr>
        <a:xfrm>
          <a:off x="10256838" y="21653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13</xdr:row>
      <xdr:rowOff>19050</xdr:rowOff>
    </xdr:from>
    <xdr:to>
      <xdr:col>15</xdr:col>
      <xdr:colOff>381000</xdr:colOff>
      <xdr:row>15</xdr:row>
      <xdr:rowOff>61913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2D8FBD0F-2413-2137-4384-D3D78888AB04}"/>
            </a:ext>
          </a:extLst>
        </xdr:cNvPr>
        <xdr:cNvCxnSpPr/>
      </xdr:nvCxnSpPr>
      <xdr:spPr>
        <a:xfrm flipV="1">
          <a:off x="9701213" y="1857375"/>
          <a:ext cx="466725" cy="25241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50800</xdr:colOff>
      <xdr:row>13</xdr:row>
      <xdr:rowOff>26987</xdr:rowOff>
    </xdr:from>
    <xdr:to>
      <xdr:col>13</xdr:col>
      <xdr:colOff>228600</xdr:colOff>
      <xdr:row>14</xdr:row>
      <xdr:rowOff>71437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80E1A4BE-1508-EC0B-3DE0-545FB7B1EF86}"/>
            </a:ext>
          </a:extLst>
        </xdr:cNvPr>
        <xdr:cNvCxnSpPr/>
      </xdr:nvCxnSpPr>
      <xdr:spPr>
        <a:xfrm>
          <a:off x="9275763" y="1865312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533400</xdr:colOff>
      <xdr:row>13</xdr:row>
      <xdr:rowOff>9525</xdr:rowOff>
    </xdr:from>
    <xdr:to>
      <xdr:col>12</xdr:col>
      <xdr:colOff>52387</xdr:colOff>
      <xdr:row>15</xdr:row>
      <xdr:rowOff>14288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A245341F-EFFA-AEC0-0579-5AC788694A24}"/>
            </a:ext>
          </a:extLst>
        </xdr:cNvPr>
        <xdr:cNvCxnSpPr>
          <a:stCxn id="3" idx="2"/>
        </xdr:cNvCxnSpPr>
      </xdr:nvCxnSpPr>
      <xdr:spPr>
        <a:xfrm>
          <a:off x="8834438" y="1847850"/>
          <a:ext cx="223837" cy="21431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11</xdr:row>
      <xdr:rowOff>176212</xdr:rowOff>
    </xdr:from>
    <xdr:to>
      <xdr:col>12</xdr:col>
      <xdr:colOff>180975</xdr:colOff>
      <xdr:row>13</xdr:row>
      <xdr:rowOff>9525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EF16B309-3420-B755-AC52-A1072BBA918A}"/>
            </a:ext>
          </a:extLst>
        </xdr:cNvPr>
        <xdr:cNvSpPr txBox="1"/>
      </xdr:nvSpPr>
      <xdr:spPr>
        <a:xfrm>
          <a:off x="8482013" y="1657350"/>
          <a:ext cx="704850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=LEFT(L16,2)</a:t>
          </a:r>
        </a:p>
      </xdr:txBody>
    </xdr:sp>
    <xdr:clientData/>
  </xdr:twoCellAnchor>
  <xdr:twoCellAnchor>
    <xdr:from>
      <xdr:col>13</xdr:col>
      <xdr:colOff>4762</xdr:colOff>
      <xdr:row>11</xdr:row>
      <xdr:rowOff>185737</xdr:rowOff>
    </xdr:from>
    <xdr:to>
      <xdr:col>15</xdr:col>
      <xdr:colOff>152400</xdr:colOff>
      <xdr:row>13</xdr:row>
      <xdr:rowOff>19050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3CE052FA-8F74-A678-97CE-52C214232E2D}"/>
            </a:ext>
          </a:extLst>
        </xdr:cNvPr>
        <xdr:cNvSpPr txBox="1"/>
      </xdr:nvSpPr>
      <xdr:spPr>
        <a:xfrm>
          <a:off x="9229725" y="1666875"/>
          <a:ext cx="709613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=MID(L16,4,5)</a:t>
          </a:r>
        </a:p>
      </xdr:txBody>
    </xdr:sp>
    <xdr:clientData/>
  </xdr:twoCellAnchor>
  <xdr:twoCellAnchor>
    <xdr:from>
      <xdr:col>15</xdr:col>
      <xdr:colOff>200025</xdr:colOff>
      <xdr:row>12</xdr:row>
      <xdr:rowOff>14287</xdr:rowOff>
    </xdr:from>
    <xdr:to>
      <xdr:col>17</xdr:col>
      <xdr:colOff>100965</xdr:colOff>
      <xdr:row>13</xdr:row>
      <xdr:rowOff>9525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8E1B029B-0456-3865-F1F8-7410552BE7BC}"/>
            </a:ext>
          </a:extLst>
        </xdr:cNvPr>
        <xdr:cNvSpPr txBox="1"/>
      </xdr:nvSpPr>
      <xdr:spPr>
        <a:xfrm>
          <a:off x="9986963" y="1685925"/>
          <a:ext cx="89154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=RIGHT(L16,2)</a:t>
          </a:r>
        </a:p>
      </xdr:txBody>
    </xdr:sp>
    <xdr:clientData/>
  </xdr:twoCellAnchor>
  <xdr:twoCellAnchor>
    <xdr:from>
      <xdr:col>15</xdr:col>
      <xdr:colOff>452437</xdr:colOff>
      <xdr:row>17</xdr:row>
      <xdr:rowOff>33338</xdr:rowOff>
    </xdr:from>
    <xdr:to>
      <xdr:col>17</xdr:col>
      <xdr:colOff>80327</xdr:colOff>
      <xdr:row>18</xdr:row>
      <xdr:rowOff>52388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4DC4E7F6-89E2-5E60-5FF7-E96CE82FACFD}"/>
            </a:ext>
          </a:extLst>
        </xdr:cNvPr>
        <xdr:cNvSpPr txBox="1"/>
      </xdr:nvSpPr>
      <xdr:spPr>
        <a:xfrm>
          <a:off x="10239375" y="2366963"/>
          <a:ext cx="6184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=O16&amp;N16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2"/>
  </sheetPr>
  <dimension ref="A1:D24"/>
  <sheetViews>
    <sheetView workbookViewId="0">
      <pane ySplit="4" topLeftCell="A5" activePane="bottomLeft" state="frozen"/>
      <selection pane="bottomLeft" activeCell="C6" sqref="C6"/>
    </sheetView>
  </sheetViews>
  <sheetFormatPr defaultRowHeight="10.15" x14ac:dyDescent="0.3"/>
  <cols>
    <col min="1" max="1" width="7" customWidth="1"/>
    <col min="2" max="2" width="15.83203125" customWidth="1"/>
    <col min="3" max="3" width="96.4140625" customWidth="1"/>
    <col min="4" max="4" width="2.33203125" customWidth="1"/>
  </cols>
  <sheetData>
    <row r="1" spans="1:4" ht="15" x14ac:dyDescent="0.3">
      <c r="A1" s="29" t="s">
        <v>82</v>
      </c>
      <c r="B1" s="30"/>
      <c r="C1" s="30"/>
      <c r="D1" s="31"/>
    </row>
    <row r="2" spans="1:4" ht="15" x14ac:dyDescent="0.3">
      <c r="A2" s="32" t="str">
        <f>kAppName</f>
        <v>Data manipulation</v>
      </c>
      <c r="B2" s="33"/>
      <c r="C2" s="33"/>
      <c r="D2" s="34"/>
    </row>
    <row r="3" spans="1:4" x14ac:dyDescent="0.3">
      <c r="A3" s="35" t="str">
        <f>"Version " &amp; kVersion</f>
        <v>Version 06-Oct-2024A</v>
      </c>
      <c r="B3" s="33"/>
      <c r="C3" s="33"/>
      <c r="D3" s="34"/>
    </row>
    <row r="4" spans="1:4" ht="10.5" thickBot="1" x14ac:dyDescent="0.35">
      <c r="A4" s="36"/>
      <c r="B4" s="37"/>
      <c r="C4" s="37"/>
      <c r="D4" s="38"/>
    </row>
    <row r="5" spans="1:4" x14ac:dyDescent="0.3">
      <c r="A5" s="39" t="s">
        <v>83</v>
      </c>
    </row>
    <row r="6" spans="1:4" x14ac:dyDescent="0.3">
      <c r="A6" s="40" t="s">
        <v>84</v>
      </c>
      <c r="C6" s="41" t="s">
        <v>1564</v>
      </c>
    </row>
    <row r="7" spans="1:4" x14ac:dyDescent="0.3">
      <c r="A7" s="40" t="s">
        <v>85</v>
      </c>
      <c r="C7" s="41" t="s">
        <v>1565</v>
      </c>
    </row>
    <row r="8" spans="1:4" x14ac:dyDescent="0.3">
      <c r="A8" s="40" t="s">
        <v>86</v>
      </c>
      <c r="C8" s="2" t="str">
        <f ca="1">SUBSTITUTE(LEFT(CELL("filename",C8),FIND("]",CELL("filename",C8))-1),"[","")</f>
        <v>D:\d\Mag\FreeTips\Tip1005\DataManipulation.xlsm</v>
      </c>
    </row>
    <row r="9" spans="1:4" x14ac:dyDescent="0.3">
      <c r="A9" s="40" t="s">
        <v>87</v>
      </c>
      <c r="C9" t="str">
        <f>kVersion</f>
        <v>06-Oct-2024A</v>
      </c>
    </row>
    <row r="10" spans="1:4" x14ac:dyDescent="0.3">
      <c r="A10" s="40" t="s">
        <v>88</v>
      </c>
      <c r="C10" t="s">
        <v>115</v>
      </c>
    </row>
    <row r="11" spans="1:4" x14ac:dyDescent="0.3">
      <c r="A11" s="40" t="s">
        <v>89</v>
      </c>
      <c r="C11" s="41" t="s">
        <v>90</v>
      </c>
    </row>
    <row r="12" spans="1:4" x14ac:dyDescent="0.3">
      <c r="A12" s="40" t="s">
        <v>91</v>
      </c>
      <c r="C12" s="41" t="s">
        <v>92</v>
      </c>
    </row>
    <row r="13" spans="1:4" x14ac:dyDescent="0.3">
      <c r="A13" s="40" t="s">
        <v>93</v>
      </c>
    </row>
    <row r="14" spans="1:4" x14ac:dyDescent="0.3">
      <c r="A14" s="42" t="s">
        <v>94</v>
      </c>
      <c r="C14" s="41" t="s">
        <v>95</v>
      </c>
    </row>
    <row r="15" spans="1:4" x14ac:dyDescent="0.3">
      <c r="A15" s="42" t="s">
        <v>96</v>
      </c>
      <c r="C15" s="41" t="s">
        <v>97</v>
      </c>
    </row>
    <row r="16" spans="1:4" x14ac:dyDescent="0.3">
      <c r="A16" s="42" t="s">
        <v>98</v>
      </c>
      <c r="C16" s="41" t="s">
        <v>99</v>
      </c>
    </row>
    <row r="17" spans="1:3" x14ac:dyDescent="0.3">
      <c r="A17" s="42" t="s">
        <v>100</v>
      </c>
      <c r="C17" s="41" t="s">
        <v>101</v>
      </c>
    </row>
    <row r="18" spans="1:3" x14ac:dyDescent="0.3">
      <c r="A18" s="42" t="s">
        <v>102</v>
      </c>
      <c r="C18" s="41" t="s">
        <v>103</v>
      </c>
    </row>
    <row r="19" spans="1:3" x14ac:dyDescent="0.3">
      <c r="A19" s="43" t="s">
        <v>104</v>
      </c>
    </row>
    <row r="20" spans="1:3" x14ac:dyDescent="0.3">
      <c r="A20" s="44" t="s">
        <v>105</v>
      </c>
      <c r="C20" s="41" t="s">
        <v>106</v>
      </c>
    </row>
    <row r="21" spans="1:3" x14ac:dyDescent="0.3">
      <c r="A21" s="44" t="s">
        <v>107</v>
      </c>
      <c r="C21" s="41" t="s">
        <v>108</v>
      </c>
    </row>
    <row r="22" spans="1:3" x14ac:dyDescent="0.3">
      <c r="A22" s="44" t="s">
        <v>109</v>
      </c>
      <c r="C22" s="41" t="s">
        <v>110</v>
      </c>
    </row>
    <row r="23" spans="1:3" x14ac:dyDescent="0.3">
      <c r="A23" s="44" t="s">
        <v>111</v>
      </c>
      <c r="C23" s="41" t="s">
        <v>112</v>
      </c>
    </row>
    <row r="24" spans="1:3" x14ac:dyDescent="0.3">
      <c r="A24" s="44" t="s">
        <v>113</v>
      </c>
      <c r="C24" s="41" t="s">
        <v>114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61"/>
  </sheetPr>
  <dimension ref="K10:R77"/>
  <sheetViews>
    <sheetView topLeftCell="K11" zoomScaleNormal="100" workbookViewId="0">
      <pane xSplit="1" ySplit="4" topLeftCell="L60" activePane="bottomRight" state="frozen"/>
      <selection activeCell="K11" sqref="K11"/>
      <selection pane="topRight" activeCell="L11" sqref="L11"/>
      <selection pane="bottomLeft" activeCell="K15" sqref="K15"/>
      <selection pane="bottomRight" activeCell="O73" sqref="O73"/>
    </sheetView>
  </sheetViews>
  <sheetFormatPr defaultRowHeight="10.15" x14ac:dyDescent="0.3"/>
  <cols>
    <col min="11" max="11" width="4.6640625" customWidth="1"/>
    <col min="12" max="12" width="34.33203125" bestFit="1" customWidth="1"/>
    <col min="13" max="13" width="18.6640625" bestFit="1" customWidth="1"/>
    <col min="14" max="15" width="10.33203125" customWidth="1"/>
    <col min="16" max="16" width="1.83203125" customWidth="1"/>
  </cols>
  <sheetData>
    <row r="10" spans="11:16" ht="10.5" thickBot="1" x14ac:dyDescent="0.35"/>
    <row r="11" spans="11:16" ht="15" x14ac:dyDescent="0.3">
      <c r="K11" s="29" t="s">
        <v>125</v>
      </c>
      <c r="L11" s="30"/>
      <c r="M11" s="49"/>
      <c r="N11" s="49" t="str">
        <f>kOrgName</f>
        <v>AbleOwl © 2024</v>
      </c>
      <c r="O11" s="49"/>
      <c r="P11" s="31"/>
    </row>
    <row r="12" spans="11:16" ht="15" x14ac:dyDescent="0.3">
      <c r="K12" s="32" t="s">
        <v>126</v>
      </c>
      <c r="L12" s="33"/>
      <c r="M12" s="16"/>
      <c r="N12" s="16" t="str">
        <f ca="1">kNow</f>
        <v xml:space="preserve">13-Oct-2024 7:14 PM </v>
      </c>
      <c r="O12" s="16"/>
      <c r="P12" s="34"/>
    </row>
    <row r="13" spans="11:16" ht="13.15" x14ac:dyDescent="0.3">
      <c r="K13" s="50"/>
      <c r="L13" s="33"/>
      <c r="M13" s="33"/>
      <c r="N13" s="33"/>
      <c r="O13" s="33"/>
      <c r="P13" s="34"/>
    </row>
    <row r="14" spans="11:16" ht="10.5" thickBot="1" x14ac:dyDescent="0.35">
      <c r="K14" s="51"/>
      <c r="L14" s="52" t="s">
        <v>127</v>
      </c>
      <c r="M14" s="52" t="s">
        <v>128</v>
      </c>
      <c r="N14" s="52" t="s">
        <v>129</v>
      </c>
      <c r="O14" s="52" t="s">
        <v>130</v>
      </c>
      <c r="P14" s="53"/>
    </row>
    <row r="15" spans="11:16" x14ac:dyDescent="0.3">
      <c r="K15" s="4">
        <f ca="1">MAX(K$14:OFFSET(K15,-1,0))+1</f>
        <v>1</v>
      </c>
      <c r="L15" s="57" t="s">
        <v>133</v>
      </c>
      <c r="M15" s="2" t="s">
        <v>131</v>
      </c>
      <c r="N15" s="2"/>
      <c r="O15" s="2">
        <v>100</v>
      </c>
      <c r="P15" s="3"/>
    </row>
    <row r="16" spans="11:16" x14ac:dyDescent="0.3">
      <c r="K16" s="4"/>
      <c r="L16" s="59" t="str">
        <f>UPPER("Converts Text to ")&amp;CHAR(10)&amp;UPPER("uppercase")</f>
        <v>CONVERTS TEXT TO 
UPPERCASE</v>
      </c>
      <c r="M16" s="2"/>
      <c r="N16" s="2"/>
      <c r="O16" s="2"/>
      <c r="P16" s="3"/>
    </row>
    <row r="17" spans="11:18" x14ac:dyDescent="0.3">
      <c r="K17" s="4">
        <f ca="1">MAX(K$14:OFFSET(K17,-1,0))+1</f>
        <v>2</v>
      </c>
      <c r="L17" s="57" t="s">
        <v>136</v>
      </c>
      <c r="M17" s="2" t="s">
        <v>131</v>
      </c>
      <c r="N17" s="2"/>
      <c r="O17" s="2"/>
      <c r="P17" s="3"/>
    </row>
    <row r="18" spans="11:18" x14ac:dyDescent="0.3">
      <c r="K18" s="4"/>
      <c r="L18" s="54" t="s">
        <v>134</v>
      </c>
      <c r="M18" s="2"/>
      <c r="N18" s="2"/>
      <c r="O18" s="2"/>
      <c r="P18" s="3"/>
    </row>
    <row r="19" spans="11:18" x14ac:dyDescent="0.3">
      <c r="K19" s="4">
        <f ca="1">MAX(K$14:OFFSET(K19,-1,0))+1</f>
        <v>3</v>
      </c>
      <c r="L19" s="55" t="s">
        <v>132</v>
      </c>
      <c r="M19" s="2" t="s">
        <v>131</v>
      </c>
      <c r="N19" s="2"/>
      <c r="O19" s="2"/>
      <c r="P19" s="3"/>
    </row>
    <row r="20" spans="11:18" ht="20.25" x14ac:dyDescent="0.3">
      <c r="K20" s="4"/>
      <c r="L20" s="160" t="s">
        <v>1523</v>
      </c>
      <c r="M20" s="2"/>
      <c r="N20" s="2"/>
      <c r="O20" s="2"/>
      <c r="P20" s="3"/>
    </row>
    <row r="21" spans="11:18" x14ac:dyDescent="0.3">
      <c r="K21" s="4">
        <f ca="1">MAX(K$14:OFFSET(K21,-1,0))+1</f>
        <v>4</v>
      </c>
      <c r="L21" s="55" t="s">
        <v>132</v>
      </c>
      <c r="M21" s="2" t="s">
        <v>131</v>
      </c>
      <c r="N21" s="2"/>
      <c r="O21" s="2"/>
      <c r="P21" s="3"/>
      <c r="R21" s="56"/>
    </row>
    <row r="22" spans="11:18" ht="20.25" x14ac:dyDescent="0.3">
      <c r="K22" s="4"/>
      <c r="L22" s="160" t="s">
        <v>1523</v>
      </c>
      <c r="M22" s="2"/>
      <c r="N22" s="2"/>
      <c r="O22" s="2"/>
      <c r="P22" s="3"/>
    </row>
    <row r="23" spans="11:18" x14ac:dyDescent="0.3">
      <c r="K23" s="4"/>
      <c r="L23" s="2"/>
      <c r="M23" s="2"/>
      <c r="N23" s="2"/>
      <c r="O23" s="2"/>
      <c r="P23" s="3"/>
    </row>
    <row r="24" spans="11:18" x14ac:dyDescent="0.3">
      <c r="K24" s="4"/>
      <c r="L24" s="60" t="s">
        <v>135</v>
      </c>
      <c r="M24" s="2"/>
      <c r="N24" s="2"/>
      <c r="O24" s="2"/>
      <c r="P24" s="3"/>
    </row>
    <row r="25" spans="11:18" x14ac:dyDescent="0.3">
      <c r="K25" s="4"/>
      <c r="L25" s="58" t="s">
        <v>137</v>
      </c>
      <c r="M25" s="2"/>
      <c r="N25" s="2"/>
      <c r="O25" s="2"/>
      <c r="P25" s="3"/>
    </row>
    <row r="26" spans="11:18" x14ac:dyDescent="0.3">
      <c r="K26" s="4">
        <f ca="1">MAX(K$14:OFFSET(K26,-1,0))+1</f>
        <v>5</v>
      </c>
      <c r="L26" s="55" t="s">
        <v>1524</v>
      </c>
      <c r="M26" s="2" t="s">
        <v>131</v>
      </c>
      <c r="N26" s="2"/>
      <c r="O26" s="2"/>
      <c r="P26" s="3"/>
    </row>
    <row r="27" spans="11:18" x14ac:dyDescent="0.3">
      <c r="K27" s="4"/>
      <c r="L27" s="2" t="s">
        <v>1525</v>
      </c>
      <c r="M27" s="2"/>
      <c r="N27" s="2"/>
      <c r="O27" s="2"/>
      <c r="P27" s="3"/>
    </row>
    <row r="28" spans="11:18" x14ac:dyDescent="0.3">
      <c r="K28" s="4">
        <f ca="1">MAX(K$14:OFFSET(K28,-1,0))+1</f>
        <v>6</v>
      </c>
      <c r="L28" s="55" t="s">
        <v>1524</v>
      </c>
      <c r="M28" s="2" t="s">
        <v>131</v>
      </c>
      <c r="N28" s="2"/>
      <c r="O28" s="2"/>
      <c r="P28" s="3"/>
    </row>
    <row r="29" spans="11:18" x14ac:dyDescent="0.3">
      <c r="K29" s="4"/>
      <c r="L29" s="2" t="s">
        <v>1525</v>
      </c>
      <c r="M29" s="2"/>
      <c r="N29" s="2"/>
      <c r="O29" s="2"/>
      <c r="P29" s="3"/>
      <c r="R29" s="54"/>
    </row>
    <row r="30" spans="11:18" x14ac:dyDescent="0.3">
      <c r="K30" s="4"/>
      <c r="M30" s="2"/>
      <c r="N30" s="2"/>
      <c r="O30" s="2"/>
      <c r="P30" s="3"/>
    </row>
    <row r="31" spans="11:18" x14ac:dyDescent="0.3">
      <c r="K31" s="4"/>
      <c r="L31" s="161"/>
      <c r="M31" s="2"/>
      <c r="N31" s="2"/>
      <c r="O31" s="2"/>
      <c r="P31" s="3"/>
    </row>
    <row r="32" spans="11:18" x14ac:dyDescent="0.3">
      <c r="K32" s="4"/>
      <c r="L32" s="161" t="s">
        <v>1526</v>
      </c>
      <c r="M32" s="2"/>
      <c r="N32" s="2"/>
      <c r="O32" s="2"/>
      <c r="P32" s="3"/>
      <c r="R32" s="54"/>
    </row>
    <row r="33" spans="11:18" x14ac:dyDescent="0.3">
      <c r="K33" s="4">
        <f ca="1">MAX(K$14:OFFSET(K33,-1,0))+1</f>
        <v>7</v>
      </c>
      <c r="L33" s="161" t="s">
        <v>1527</v>
      </c>
      <c r="M33" s="2" t="s">
        <v>131</v>
      </c>
      <c r="N33" s="2"/>
      <c r="O33" s="2"/>
      <c r="P33" s="3"/>
      <c r="R33" s="54"/>
    </row>
    <row r="34" spans="11:18" ht="20.25" x14ac:dyDescent="0.3">
      <c r="K34" s="4"/>
      <c r="L34" s="163" t="s">
        <v>1528</v>
      </c>
      <c r="M34" s="2"/>
      <c r="N34" s="2"/>
      <c r="O34" s="2"/>
      <c r="P34" s="3"/>
      <c r="R34" s="54"/>
    </row>
    <row r="35" spans="11:18" x14ac:dyDescent="0.3">
      <c r="K35" s="4">
        <f ca="1">MAX(K$14:OFFSET(K35,-1,0))+1</f>
        <v>8</v>
      </c>
      <c r="L35" s="165" t="s">
        <v>1553</v>
      </c>
      <c r="M35" s="2" t="s">
        <v>131</v>
      </c>
      <c r="N35" s="2"/>
      <c r="O35" s="2"/>
      <c r="P35" s="3"/>
      <c r="R35" s="54"/>
    </row>
    <row r="36" spans="11:18" ht="40.5" x14ac:dyDescent="0.3">
      <c r="K36" s="4"/>
      <c r="L36" s="163" t="s">
        <v>1554</v>
      </c>
      <c r="M36" s="2"/>
      <c r="N36" s="2"/>
      <c r="O36" s="2"/>
      <c r="P36" s="3"/>
      <c r="R36" s="54"/>
    </row>
    <row r="37" spans="11:18" x14ac:dyDescent="0.3">
      <c r="K37" s="4">
        <f ca="1">MAX(K$14:OFFSET(K37,-1,0))+1</f>
        <v>9</v>
      </c>
      <c r="L37" s="165" t="s">
        <v>1532</v>
      </c>
      <c r="M37" s="2" t="s">
        <v>131</v>
      </c>
      <c r="N37" s="2"/>
      <c r="O37" s="2"/>
      <c r="P37" s="3"/>
      <c r="R37" s="54"/>
    </row>
    <row r="38" spans="11:18" ht="20.25" x14ac:dyDescent="0.3">
      <c r="K38" s="4"/>
      <c r="L38" s="164" t="s">
        <v>1533</v>
      </c>
      <c r="M38" s="2"/>
      <c r="N38" s="2"/>
      <c r="O38" s="2"/>
      <c r="P38" s="3"/>
      <c r="R38" s="54"/>
    </row>
    <row r="39" spans="11:18" x14ac:dyDescent="0.3">
      <c r="K39" s="4">
        <f ca="1">MAX(K$14:OFFSET(K39,-1,0))+1</f>
        <v>10</v>
      </c>
      <c r="L39" s="56" t="s">
        <v>1529</v>
      </c>
      <c r="M39" s="2" t="s">
        <v>131</v>
      </c>
      <c r="N39" s="2"/>
      <c r="O39" s="2"/>
      <c r="P39" s="3"/>
      <c r="R39" s="54"/>
    </row>
    <row r="40" spans="11:18" ht="30.4" x14ac:dyDescent="0.3">
      <c r="K40" s="4"/>
      <c r="L40" s="164" t="s">
        <v>1530</v>
      </c>
      <c r="M40" s="2"/>
      <c r="N40" s="2"/>
      <c r="O40" s="2"/>
      <c r="P40" s="3"/>
      <c r="R40" s="54"/>
    </row>
    <row r="41" spans="11:18" x14ac:dyDescent="0.3">
      <c r="K41" s="4">
        <f ca="1">MAX(K$14:OFFSET(K41,-1,0))+1</f>
        <v>11</v>
      </c>
      <c r="L41" s="162" t="s">
        <v>1531</v>
      </c>
      <c r="M41" s="2"/>
      <c r="N41" s="2">
        <v>10</v>
      </c>
      <c r="O41" s="2"/>
      <c r="P41" s="3"/>
      <c r="R41" s="54"/>
    </row>
    <row r="42" spans="11:18" x14ac:dyDescent="0.3">
      <c r="K42" s="4">
        <f ca="1">MAX(K$14:OFFSET(K42,-1,0))+1</f>
        <v>12</v>
      </c>
      <c r="L42" s="162" t="s">
        <v>1555</v>
      </c>
      <c r="M42" s="2"/>
      <c r="N42" s="2"/>
      <c r="O42" s="2"/>
      <c r="P42" s="3"/>
      <c r="R42" s="54"/>
    </row>
    <row r="43" spans="11:18" x14ac:dyDescent="0.3">
      <c r="K43" s="4"/>
      <c r="L43" s="162"/>
      <c r="M43" s="2"/>
      <c r="N43" s="2"/>
      <c r="O43" s="2"/>
      <c r="P43" s="3"/>
      <c r="R43" s="54"/>
    </row>
    <row r="44" spans="11:18" x14ac:dyDescent="0.3">
      <c r="K44" s="4"/>
      <c r="L44" s="162" t="s">
        <v>1558</v>
      </c>
      <c r="M44" s="2"/>
      <c r="N44" s="2"/>
      <c r="O44" s="2"/>
      <c r="P44" s="3"/>
      <c r="R44" s="54"/>
    </row>
    <row r="45" spans="11:18" x14ac:dyDescent="0.3">
      <c r="K45" s="4"/>
      <c r="L45" s="162" t="s">
        <v>1557</v>
      </c>
      <c r="M45" s="2"/>
      <c r="N45" s="2"/>
      <c r="O45" s="2"/>
      <c r="P45" s="3"/>
      <c r="R45" s="54"/>
    </row>
    <row r="46" spans="11:18" x14ac:dyDescent="0.3">
      <c r="K46" s="4"/>
      <c r="L46" s="162" t="s">
        <v>1556</v>
      </c>
      <c r="M46" s="2"/>
      <c r="N46" s="2"/>
      <c r="O46" s="2"/>
      <c r="P46" s="3"/>
      <c r="R46" s="54"/>
    </row>
    <row r="47" spans="11:18" x14ac:dyDescent="0.3">
      <c r="K47" s="4">
        <f ca="1">MAX(K$14:OFFSET(K47,-1,0))+1</f>
        <v>13</v>
      </c>
      <c r="L47" s="56" t="s">
        <v>1534</v>
      </c>
      <c r="M47" s="2" t="s">
        <v>131</v>
      </c>
      <c r="N47" s="2"/>
      <c r="O47" s="2"/>
      <c r="P47" s="3"/>
      <c r="R47" s="54"/>
    </row>
    <row r="48" spans="11:18" ht="20.25" x14ac:dyDescent="0.3">
      <c r="K48" s="4"/>
      <c r="L48" s="163" t="s">
        <v>1536</v>
      </c>
      <c r="M48" s="2"/>
      <c r="N48" s="2"/>
      <c r="O48" s="2"/>
      <c r="P48" s="3"/>
      <c r="R48" s="54"/>
    </row>
    <row r="49" spans="11:18" x14ac:dyDescent="0.3">
      <c r="K49" s="4">
        <f ca="1">MAX(K$14:OFFSET(K49,-1,0))+1</f>
        <v>14</v>
      </c>
      <c r="L49" s="56" t="s">
        <v>1534</v>
      </c>
      <c r="M49" s="2" t="s">
        <v>131</v>
      </c>
      <c r="N49" s="2"/>
      <c r="O49" s="2"/>
      <c r="P49" s="3"/>
    </row>
    <row r="50" spans="11:18" ht="20.25" x14ac:dyDescent="0.3">
      <c r="K50" s="4"/>
      <c r="L50" s="163" t="s">
        <v>1536</v>
      </c>
      <c r="M50" s="2"/>
      <c r="N50" s="2"/>
      <c r="O50" s="2"/>
      <c r="P50" s="3"/>
    </row>
    <row r="51" spans="11:18" x14ac:dyDescent="0.3">
      <c r="K51" s="4"/>
      <c r="L51" s="163"/>
      <c r="M51" s="2"/>
      <c r="N51" s="2"/>
      <c r="O51" s="2"/>
      <c r="P51" s="3"/>
    </row>
    <row r="52" spans="11:18" x14ac:dyDescent="0.3">
      <c r="K52" s="4"/>
      <c r="M52" s="2"/>
      <c r="N52" s="2"/>
      <c r="O52" s="2"/>
      <c r="P52" s="3"/>
    </row>
    <row r="53" spans="11:18" x14ac:dyDescent="0.3">
      <c r="K53" s="4"/>
      <c r="L53" s="162" t="s">
        <v>1535</v>
      </c>
      <c r="M53" s="2"/>
      <c r="N53" s="2"/>
      <c r="O53" s="2"/>
      <c r="P53" s="3"/>
    </row>
    <row r="54" spans="11:18" x14ac:dyDescent="0.3">
      <c r="K54" s="4">
        <f ca="1">MAX(K$14:OFFSET(K54,-1,0))+1</f>
        <v>15</v>
      </c>
      <c r="L54" s="56" t="s">
        <v>1537</v>
      </c>
      <c r="M54" s="2" t="s">
        <v>131</v>
      </c>
      <c r="N54" s="2"/>
      <c r="O54" s="2"/>
      <c r="P54" s="3"/>
      <c r="R54" s="54"/>
    </row>
    <row r="55" spans="11:18" ht="20.25" x14ac:dyDescent="0.3">
      <c r="K55" s="4"/>
      <c r="L55" s="163" t="s">
        <v>1538</v>
      </c>
      <c r="M55" s="2"/>
      <c r="N55" s="2"/>
      <c r="O55" s="2"/>
      <c r="P55" s="3"/>
      <c r="R55" s="54"/>
    </row>
    <row r="56" spans="11:18" x14ac:dyDescent="0.3">
      <c r="K56" s="4">
        <f ca="1">MAX(K$14:OFFSET(K56,-1,0))+1</f>
        <v>16</v>
      </c>
      <c r="L56" s="56" t="s">
        <v>1537</v>
      </c>
      <c r="M56" s="2" t="s">
        <v>131</v>
      </c>
      <c r="N56" s="2"/>
      <c r="O56" s="2"/>
      <c r="P56" s="3"/>
    </row>
    <row r="57" spans="11:18" ht="20.25" x14ac:dyDescent="0.3">
      <c r="K57" s="4"/>
      <c r="L57" s="163" t="s">
        <v>1538</v>
      </c>
      <c r="M57" s="2"/>
      <c r="N57" s="2"/>
      <c r="O57" s="2"/>
      <c r="P57" s="3"/>
    </row>
    <row r="58" spans="11:18" x14ac:dyDescent="0.3">
      <c r="K58" s="4"/>
      <c r="L58" s="163"/>
      <c r="M58" s="2"/>
      <c r="N58" s="2"/>
      <c r="O58" s="2"/>
      <c r="P58" s="3"/>
    </row>
    <row r="59" spans="11:18" x14ac:dyDescent="0.3">
      <c r="K59" s="4"/>
      <c r="M59" s="2"/>
      <c r="N59" s="2"/>
      <c r="O59" s="2"/>
      <c r="P59" s="3"/>
    </row>
    <row r="60" spans="11:18" x14ac:dyDescent="0.3">
      <c r="K60" s="4"/>
      <c r="L60" s="162" t="s">
        <v>1539</v>
      </c>
      <c r="M60" s="2"/>
      <c r="N60" s="2"/>
      <c r="O60" s="2"/>
      <c r="P60" s="3"/>
    </row>
    <row r="61" spans="11:18" x14ac:dyDescent="0.3">
      <c r="K61" s="4">
        <f ca="1">MAX(K$14:OFFSET(K61,-1,0))+1</f>
        <v>17</v>
      </c>
      <c r="L61" s="56" t="s">
        <v>1540</v>
      </c>
      <c r="M61" s="2" t="s">
        <v>131</v>
      </c>
      <c r="N61" s="2"/>
      <c r="O61" s="2"/>
      <c r="P61" s="3"/>
      <c r="R61" s="54"/>
    </row>
    <row r="62" spans="11:18" ht="20.25" x14ac:dyDescent="0.3">
      <c r="K62" s="4"/>
      <c r="L62" s="163" t="s">
        <v>1541</v>
      </c>
      <c r="M62" s="2"/>
      <c r="N62" s="2"/>
      <c r="O62" s="2"/>
      <c r="P62" s="3"/>
      <c r="R62" s="54"/>
    </row>
    <row r="63" spans="11:18" x14ac:dyDescent="0.3">
      <c r="K63" s="4">
        <f ca="1">MAX(K$14:OFFSET(K63,-1,0))+1</f>
        <v>18</v>
      </c>
      <c r="L63" s="56" t="s">
        <v>1540</v>
      </c>
      <c r="M63" s="2"/>
      <c r="N63" s="2"/>
      <c r="O63" s="2"/>
      <c r="P63" s="3"/>
    </row>
    <row r="64" spans="11:18" ht="20.25" x14ac:dyDescent="0.3">
      <c r="K64" s="4"/>
      <c r="L64" s="163" t="s">
        <v>1541</v>
      </c>
      <c r="M64" s="2"/>
      <c r="N64" s="2"/>
      <c r="O64" s="2"/>
      <c r="P64" s="3"/>
    </row>
    <row r="65" spans="11:16" x14ac:dyDescent="0.3">
      <c r="K65" s="4"/>
      <c r="L65" s="163"/>
      <c r="M65" s="2"/>
      <c r="N65" s="2"/>
      <c r="O65" s="2"/>
      <c r="P65" s="3"/>
    </row>
    <row r="66" spans="11:16" x14ac:dyDescent="0.3">
      <c r="K66" s="4"/>
      <c r="M66" s="2"/>
      <c r="N66" s="2"/>
      <c r="O66" s="2"/>
      <c r="P66" s="3"/>
    </row>
    <row r="67" spans="11:16" x14ac:dyDescent="0.3">
      <c r="K67" s="4"/>
      <c r="L67" s="162" t="s">
        <v>1542</v>
      </c>
      <c r="M67" s="2"/>
      <c r="N67" s="2"/>
      <c r="O67" s="2"/>
      <c r="P67" s="3"/>
    </row>
    <row r="68" spans="11:16" x14ac:dyDescent="0.3">
      <c r="K68" s="4"/>
      <c r="L68" s="162"/>
      <c r="M68" s="2"/>
      <c r="N68" s="2"/>
      <c r="O68" s="2"/>
      <c r="P68" s="3"/>
    </row>
    <row r="69" spans="11:16" x14ac:dyDescent="0.3">
      <c r="K69" s="4">
        <f ca="1">MAX(K$14:OFFSET(K69,-1,0))+1</f>
        <v>19</v>
      </c>
      <c r="L69" s="56" t="s">
        <v>1543</v>
      </c>
      <c r="M69" s="2" t="s">
        <v>131</v>
      </c>
      <c r="N69" s="2"/>
      <c r="O69" s="2"/>
      <c r="P69" s="3"/>
    </row>
    <row r="70" spans="11:16" ht="20.25" x14ac:dyDescent="0.3">
      <c r="K70" s="4"/>
      <c r="L70" s="163" t="s">
        <v>1545</v>
      </c>
      <c r="M70" s="2"/>
      <c r="N70" s="2"/>
      <c r="O70" s="2"/>
      <c r="P70" s="3"/>
    </row>
    <row r="71" spans="11:16" x14ac:dyDescent="0.3">
      <c r="K71" s="4"/>
      <c r="L71" s="163"/>
      <c r="M71" s="2"/>
      <c r="N71" s="2"/>
      <c r="O71" s="2"/>
      <c r="P71" s="3"/>
    </row>
    <row r="72" spans="11:16" x14ac:dyDescent="0.3">
      <c r="K72" s="4"/>
      <c r="L72" t="s">
        <v>1544</v>
      </c>
      <c r="M72" s="2"/>
      <c r="N72" s="2"/>
      <c r="O72" s="2"/>
      <c r="P72" s="3"/>
    </row>
    <row r="73" spans="11:16" x14ac:dyDescent="0.3">
      <c r="K73" s="4">
        <f ca="1">MAX(K$14:OFFSET(K73,-1,0))+1</f>
        <v>20</v>
      </c>
      <c r="L73" s="162"/>
      <c r="M73" s="2" t="s">
        <v>1559</v>
      </c>
      <c r="N73" s="2"/>
      <c r="O73" s="2">
        <v>60</v>
      </c>
      <c r="P73" s="3"/>
    </row>
    <row r="74" spans="11:16" x14ac:dyDescent="0.3">
      <c r="K74" s="4">
        <f ca="1">MAX(K$14:OFFSET(K74,-1,0))+1</f>
        <v>21</v>
      </c>
      <c r="L74" s="161" t="s">
        <v>1560</v>
      </c>
      <c r="M74" s="2" t="s">
        <v>131</v>
      </c>
      <c r="N74" s="2"/>
      <c r="O74" s="2"/>
      <c r="P74" s="3"/>
    </row>
    <row r="75" spans="11:16" x14ac:dyDescent="0.3">
      <c r="K75" s="4"/>
      <c r="L75" s="162" t="s">
        <v>1561</v>
      </c>
      <c r="M75" s="2"/>
      <c r="N75" s="2"/>
      <c r="O75" s="2"/>
      <c r="P75" s="3"/>
    </row>
    <row r="76" spans="11:16" x14ac:dyDescent="0.3">
      <c r="K76" s="4">
        <f ca="1">MAX(K$14:OFFSET(K76,-1,0))+1</f>
        <v>22</v>
      </c>
      <c r="L76" s="162"/>
      <c r="M76" s="2" t="s">
        <v>1562</v>
      </c>
      <c r="N76" s="2"/>
      <c r="O76" s="2">
        <v>60</v>
      </c>
      <c r="P76" s="3"/>
    </row>
    <row r="77" spans="11:16" ht="6.75" customHeight="1" thickBot="1" x14ac:dyDescent="0.35">
      <c r="K77" s="6"/>
      <c r="L77" s="7"/>
      <c r="M77" s="7"/>
      <c r="N77" s="7"/>
      <c r="O77" s="7"/>
      <c r="P77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150" orientation="landscape" r:id="rId1"/>
  <headerFooter alignWithMargins="0">
    <oddFooter>&amp;L&amp;8&amp;D &amp;T&amp;C&amp;8&amp;Z&amp;F&amp;R&amp;8&amp;P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22"/>
  </sheetPr>
  <dimension ref="A1:B14"/>
  <sheetViews>
    <sheetView workbookViewId="0">
      <pane ySplit="4" topLeftCell="A5" activePane="bottomLeft" state="frozen"/>
      <selection pane="bottomLeft" activeCell="B7" sqref="B7"/>
    </sheetView>
  </sheetViews>
  <sheetFormatPr defaultColWidth="9.83203125" defaultRowHeight="10.15" x14ac:dyDescent="0.3"/>
  <cols>
    <col min="1" max="1" width="22" customWidth="1"/>
    <col min="2" max="2" width="19.83203125" customWidth="1"/>
  </cols>
  <sheetData>
    <row r="1" spans="1:2" ht="15" x14ac:dyDescent="0.3">
      <c r="A1" s="29" t="s">
        <v>116</v>
      </c>
      <c r="B1" s="31"/>
    </row>
    <row r="2" spans="1:2" ht="15" x14ac:dyDescent="0.3">
      <c r="A2" s="32" t="str">
        <f>kAppName</f>
        <v>Data manipulation</v>
      </c>
      <c r="B2" s="34"/>
    </row>
    <row r="3" spans="1:2" x14ac:dyDescent="0.3">
      <c r="A3" s="45"/>
      <c r="B3" s="34"/>
    </row>
    <row r="4" spans="1:2" ht="10.5" thickBot="1" x14ac:dyDescent="0.35">
      <c r="A4" s="46"/>
      <c r="B4" s="38"/>
    </row>
    <row r="5" spans="1:2" x14ac:dyDescent="0.3">
      <c r="A5" s="4"/>
      <c r="B5" s="3"/>
    </row>
    <row r="6" spans="1:2" x14ac:dyDescent="0.3">
      <c r="A6" s="4" t="s">
        <v>117</v>
      </c>
      <c r="B6" s="3" t="s">
        <v>138</v>
      </c>
    </row>
    <row r="7" spans="1:2" x14ac:dyDescent="0.3">
      <c r="A7" s="47" t="s">
        <v>87</v>
      </c>
      <c r="B7" s="3" t="s">
        <v>1567</v>
      </c>
    </row>
    <row r="8" spans="1:2" x14ac:dyDescent="0.3">
      <c r="A8" s="4" t="s">
        <v>118</v>
      </c>
      <c r="B8" s="3" t="s">
        <v>1566</v>
      </c>
    </row>
    <row r="9" spans="1:2" x14ac:dyDescent="0.3">
      <c r="A9" s="4" t="s">
        <v>119</v>
      </c>
      <c r="B9" s="3"/>
    </row>
    <row r="10" spans="1:2" x14ac:dyDescent="0.3">
      <c r="A10" s="4" t="s">
        <v>120</v>
      </c>
      <c r="B10" s="48">
        <v>1E-3</v>
      </c>
    </row>
    <row r="11" spans="1:2" x14ac:dyDescent="0.3">
      <c r="A11" s="4" t="s">
        <v>121</v>
      </c>
      <c r="B11" s="3" t="s">
        <v>122</v>
      </c>
    </row>
    <row r="12" spans="1:2" x14ac:dyDescent="0.3">
      <c r="A12" s="4" t="s">
        <v>123</v>
      </c>
      <c r="B12" s="3" t="str">
        <f ca="1">TEXT(NOW(),"d-mmm-yyyy h:mm AM/PM ")</f>
        <v xml:space="preserve">13-Oct-2024 7:14 PM </v>
      </c>
    </row>
    <row r="13" spans="1:2" x14ac:dyDescent="0.3">
      <c r="A13" s="4" t="s">
        <v>124</v>
      </c>
      <c r="B13" s="3" t="b">
        <v>1</v>
      </c>
    </row>
    <row r="14" spans="1:2" ht="6" customHeight="1" thickBot="1" x14ac:dyDescent="0.35">
      <c r="A14" s="6"/>
      <c r="B14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K10:P41"/>
  <sheetViews>
    <sheetView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45" sqref="R45"/>
    </sheetView>
  </sheetViews>
  <sheetFormatPr defaultRowHeight="10.15" x14ac:dyDescent="0.3"/>
  <cols>
    <col min="1" max="1" width="50.83203125" customWidth="1"/>
    <col min="11" max="11" width="16.4140625" customWidth="1"/>
    <col min="12" max="12" width="12.33203125" bestFit="1" customWidth="1"/>
    <col min="13" max="13" width="17" bestFit="1" customWidth="1"/>
    <col min="14" max="14" width="17.6640625" customWidth="1"/>
    <col min="15" max="15" width="14.6640625" bestFit="1" customWidth="1"/>
    <col min="16" max="16" width="1.83203125" customWidth="1"/>
  </cols>
  <sheetData>
    <row r="10" spans="11:16" ht="10.5" thickBot="1" x14ac:dyDescent="0.35"/>
    <row r="11" spans="11:16" ht="15" x14ac:dyDescent="0.3">
      <c r="K11" s="29" t="s">
        <v>0</v>
      </c>
      <c r="L11" s="30"/>
      <c r="M11" s="49"/>
      <c r="N11" s="49" t="str">
        <f>kOrgName</f>
        <v>AbleOwl © 2024</v>
      </c>
      <c r="O11" s="49"/>
      <c r="P11" s="31"/>
    </row>
    <row r="12" spans="11:16" ht="15" x14ac:dyDescent="0.3">
      <c r="K12" s="32"/>
      <c r="L12" s="33"/>
      <c r="M12" s="16"/>
      <c r="N12" s="16"/>
      <c r="O12" s="16"/>
      <c r="P12" s="34"/>
    </row>
    <row r="13" spans="11:16" ht="13.15" x14ac:dyDescent="0.3">
      <c r="K13" s="50"/>
      <c r="L13" s="33"/>
      <c r="M13" s="33"/>
      <c r="N13" s="33"/>
      <c r="O13" s="33"/>
      <c r="P13" s="34"/>
    </row>
    <row r="14" spans="11:16" ht="10.5" thickBot="1" x14ac:dyDescent="0.35">
      <c r="K14" s="51" t="s">
        <v>1</v>
      </c>
      <c r="L14" s="52" t="s">
        <v>2</v>
      </c>
      <c r="M14" s="52"/>
      <c r="N14" s="52"/>
      <c r="O14" s="52"/>
      <c r="P14" s="53"/>
    </row>
    <row r="15" spans="11:16" ht="6" customHeight="1" x14ac:dyDescent="0.3">
      <c r="K15" s="1"/>
      <c r="L15" s="2"/>
      <c r="M15" s="2"/>
      <c r="N15" s="2"/>
      <c r="O15" s="2"/>
      <c r="P15" s="3"/>
    </row>
    <row r="16" spans="11:16" ht="11.25" customHeight="1" x14ac:dyDescent="0.3">
      <c r="K16" s="4" t="s">
        <v>3</v>
      </c>
      <c r="L16" s="2" t="s">
        <v>4</v>
      </c>
      <c r="M16" s="2" t="str">
        <f>UPPER(K16)</f>
        <v xml:space="preserve">      MR ASH</v>
      </c>
      <c r="N16" s="2" t="str">
        <f>LOWER(K16)</f>
        <v xml:space="preserve">      mr ash</v>
      </c>
      <c r="O16" s="2" t="str">
        <f>PROPER(K16)</f>
        <v xml:space="preserve">      Mr Ash</v>
      </c>
      <c r="P16" s="3"/>
    </row>
    <row r="17" spans="11:16" ht="11.25" customHeight="1" x14ac:dyDescent="0.3">
      <c r="K17" s="4" t="s">
        <v>5</v>
      </c>
      <c r="L17" s="2" t="s">
        <v>6</v>
      </c>
      <c r="M17" s="2" t="str">
        <f t="shared" ref="M17:M40" si="0">UPPER(K17)</f>
        <v>MR  FULLER</v>
      </c>
      <c r="N17" s="2" t="str">
        <f t="shared" ref="N17:N40" si="1">LOWER(K17)</f>
        <v>mr  fuller</v>
      </c>
      <c r="O17" s="2" t="str">
        <f t="shared" ref="O17:O40" si="2">PROPER(K17)</f>
        <v>Mr  Fuller</v>
      </c>
      <c r="P17" s="3"/>
    </row>
    <row r="18" spans="11:16" ht="11.25" customHeight="1" x14ac:dyDescent="0.3">
      <c r="K18" s="4" t="s">
        <v>7</v>
      </c>
      <c r="L18" s="2" t="s">
        <v>8</v>
      </c>
      <c r="M18" s="2" t="str">
        <f t="shared" si="0"/>
        <v>MS    HARVEY</v>
      </c>
      <c r="N18" s="2" t="str">
        <f t="shared" si="1"/>
        <v>ms    harvey</v>
      </c>
      <c r="O18" s="2" t="str">
        <f t="shared" si="2"/>
        <v>Ms    Harvey</v>
      </c>
      <c r="P18" s="3"/>
    </row>
    <row r="19" spans="11:16" ht="11.25" customHeight="1" x14ac:dyDescent="0.3">
      <c r="K19" s="4" t="s">
        <v>9</v>
      </c>
      <c r="L19" s="2" t="s">
        <v>10</v>
      </c>
      <c r="M19" s="2" t="str">
        <f t="shared" si="0"/>
        <v>MS   LYNCH</v>
      </c>
      <c r="N19" s="2" t="str">
        <f t="shared" si="1"/>
        <v>ms   lynch</v>
      </c>
      <c r="O19" s="2" t="str">
        <f t="shared" si="2"/>
        <v>Ms   Lynch</v>
      </c>
      <c r="P19" s="3"/>
    </row>
    <row r="20" spans="11:16" ht="11.25" customHeight="1" x14ac:dyDescent="0.3">
      <c r="K20" s="4" t="s">
        <v>11</v>
      </c>
      <c r="L20" s="2" t="s">
        <v>12</v>
      </c>
      <c r="M20" s="2" t="str">
        <f t="shared" si="0"/>
        <v>MS  DUNN</v>
      </c>
      <c r="N20" s="2" t="str">
        <f t="shared" si="1"/>
        <v>ms  dunn</v>
      </c>
      <c r="O20" s="2" t="str">
        <f t="shared" si="2"/>
        <v>Ms  Dunn</v>
      </c>
      <c r="P20" s="3"/>
    </row>
    <row r="21" spans="11:16" ht="11.25" customHeight="1" x14ac:dyDescent="0.3">
      <c r="K21" s="4" t="s">
        <v>13</v>
      </c>
      <c r="L21" s="2" t="s">
        <v>14</v>
      </c>
      <c r="M21" s="2" t="str">
        <f t="shared" si="0"/>
        <v>MS  HENRY</v>
      </c>
      <c r="N21" s="2" t="str">
        <f t="shared" si="1"/>
        <v>ms  henry</v>
      </c>
      <c r="O21" s="2" t="str">
        <f t="shared" si="2"/>
        <v>Ms  Henry</v>
      </c>
      <c r="P21" s="3"/>
    </row>
    <row r="22" spans="11:16" ht="11.25" customHeight="1" x14ac:dyDescent="0.3">
      <c r="K22" s="4" t="s">
        <v>15</v>
      </c>
      <c r="L22" s="2" t="s">
        <v>16</v>
      </c>
      <c r="M22" s="2" t="str">
        <f t="shared" si="0"/>
        <v>MR  BERRY</v>
      </c>
      <c r="N22" s="2" t="str">
        <f t="shared" si="1"/>
        <v>mr  berry</v>
      </c>
      <c r="O22" s="2" t="str">
        <f t="shared" si="2"/>
        <v>Mr  Berry</v>
      </c>
      <c r="P22" s="3"/>
    </row>
    <row r="23" spans="11:16" ht="11.25" customHeight="1" x14ac:dyDescent="0.3">
      <c r="K23" s="4" t="s">
        <v>1546</v>
      </c>
      <c r="L23" s="2" t="s">
        <v>18</v>
      </c>
      <c r="M23" s="2" t="str">
        <f t="shared" si="0"/>
        <v xml:space="preserve">SIR PORTER </v>
      </c>
      <c r="N23" s="2" t="str">
        <f t="shared" si="1"/>
        <v xml:space="preserve">sir porter </v>
      </c>
      <c r="O23" s="2" t="str">
        <f t="shared" si="2"/>
        <v xml:space="preserve">Sir Porter </v>
      </c>
      <c r="P23" s="3"/>
    </row>
    <row r="24" spans="11:16" ht="11.25" customHeight="1" x14ac:dyDescent="0.3">
      <c r="K24" s="4" t="s">
        <v>19</v>
      </c>
      <c r="L24" s="2" t="s">
        <v>20</v>
      </c>
      <c r="M24" s="2" t="str">
        <f t="shared" si="0"/>
        <v>MRS GRANT</v>
      </c>
      <c r="N24" s="2" t="str">
        <f t="shared" si="1"/>
        <v>mrs grant</v>
      </c>
      <c r="O24" s="2" t="str">
        <f t="shared" si="2"/>
        <v>Mrs Grant</v>
      </c>
      <c r="P24" s="3"/>
    </row>
    <row r="25" spans="11:16" ht="11.25" customHeight="1" x14ac:dyDescent="0.3">
      <c r="K25" s="4" t="s">
        <v>21</v>
      </c>
      <c r="L25" s="2" t="s">
        <v>22</v>
      </c>
      <c r="M25" s="2" t="str">
        <f t="shared" si="0"/>
        <v>MRS GONZALEZ</v>
      </c>
      <c r="N25" s="2" t="str">
        <f t="shared" si="1"/>
        <v>mrs gonzalez</v>
      </c>
      <c r="O25" s="2" t="str">
        <f t="shared" si="2"/>
        <v>Mrs Gonzalez</v>
      </c>
      <c r="P25" s="3"/>
    </row>
    <row r="26" spans="11:16" ht="11.25" customHeight="1" x14ac:dyDescent="0.3">
      <c r="K26" s="4" t="s">
        <v>23</v>
      </c>
      <c r="L26" s="2" t="s">
        <v>24</v>
      </c>
      <c r="M26" s="2" t="str">
        <f t="shared" si="0"/>
        <v>MS  LYNCH</v>
      </c>
      <c r="N26" s="2" t="str">
        <f t="shared" si="1"/>
        <v>ms  lynch</v>
      </c>
      <c r="O26" s="2" t="str">
        <f t="shared" si="2"/>
        <v>Ms  Lynch</v>
      </c>
      <c r="P26" s="3"/>
    </row>
    <row r="27" spans="11:16" ht="11.25" customHeight="1" x14ac:dyDescent="0.3">
      <c r="K27" s="4" t="s">
        <v>25</v>
      </c>
      <c r="L27" s="2" t="s">
        <v>26</v>
      </c>
      <c r="M27" s="2" t="str">
        <f t="shared" si="0"/>
        <v>MRS WOODS</v>
      </c>
      <c r="N27" s="2" t="str">
        <f t="shared" si="1"/>
        <v>mrs woods</v>
      </c>
      <c r="O27" s="2" t="str">
        <f t="shared" si="2"/>
        <v>Mrs Woods</v>
      </c>
      <c r="P27" s="3"/>
    </row>
    <row r="28" spans="11:16" ht="11.25" customHeight="1" x14ac:dyDescent="0.3">
      <c r="K28" s="4" t="s">
        <v>27</v>
      </c>
      <c r="L28" s="2" t="s">
        <v>28</v>
      </c>
      <c r="M28" s="2" t="str">
        <f t="shared" si="0"/>
        <v>MRS  GUTIERREZ</v>
      </c>
      <c r="N28" s="2" t="str">
        <f t="shared" si="1"/>
        <v>mrs  gutierrez</v>
      </c>
      <c r="O28" s="2" t="str">
        <f t="shared" si="2"/>
        <v>Mrs  Gutierrez</v>
      </c>
      <c r="P28" s="3"/>
    </row>
    <row r="29" spans="11:16" ht="11.25" customHeight="1" x14ac:dyDescent="0.3">
      <c r="K29" s="4" t="s">
        <v>29</v>
      </c>
      <c r="L29" s="2" t="s">
        <v>30</v>
      </c>
      <c r="M29" s="2" t="str">
        <f t="shared" si="0"/>
        <v>MRS  ROMERO</v>
      </c>
      <c r="N29" s="2" t="str">
        <f t="shared" si="1"/>
        <v>mrs  romero</v>
      </c>
      <c r="O29" s="2" t="str">
        <f t="shared" si="2"/>
        <v>Mrs  Romero</v>
      </c>
      <c r="P29" s="3"/>
    </row>
    <row r="30" spans="11:16" ht="11.25" customHeight="1" x14ac:dyDescent="0.3">
      <c r="K30" s="4" t="s">
        <v>31</v>
      </c>
      <c r="L30" s="2" t="s">
        <v>32</v>
      </c>
      <c r="M30" s="2" t="str">
        <f t="shared" si="0"/>
        <v>MRS KING</v>
      </c>
      <c r="N30" s="2" t="str">
        <f t="shared" si="1"/>
        <v>mrs king</v>
      </c>
      <c r="O30" s="2" t="str">
        <f t="shared" si="2"/>
        <v>Mrs King</v>
      </c>
      <c r="P30" s="3"/>
    </row>
    <row r="31" spans="11:16" ht="11.25" customHeight="1" x14ac:dyDescent="0.3">
      <c r="K31" s="4" t="s">
        <v>33</v>
      </c>
      <c r="L31" s="2" t="s">
        <v>34</v>
      </c>
      <c r="M31" s="2" t="str">
        <f t="shared" si="0"/>
        <v>MS   FLORES</v>
      </c>
      <c r="N31" s="2" t="str">
        <f t="shared" si="1"/>
        <v>ms   flores</v>
      </c>
      <c r="O31" s="2" t="str">
        <f t="shared" si="2"/>
        <v>Ms   Flores</v>
      </c>
      <c r="P31" s="3"/>
    </row>
    <row r="32" spans="11:16" ht="11.25" customHeight="1" x14ac:dyDescent="0.3">
      <c r="K32" s="4" t="s">
        <v>35</v>
      </c>
      <c r="L32" s="2" t="s">
        <v>36</v>
      </c>
      <c r="M32" s="2" t="str">
        <f t="shared" si="0"/>
        <v>MRS BOYD</v>
      </c>
      <c r="N32" s="2" t="str">
        <f t="shared" si="1"/>
        <v>mrs boyd</v>
      </c>
      <c r="O32" s="2" t="str">
        <f t="shared" si="2"/>
        <v>Mrs Boyd</v>
      </c>
      <c r="P32" s="3"/>
    </row>
    <row r="33" spans="11:16" ht="11.25" customHeight="1" x14ac:dyDescent="0.3">
      <c r="K33" s="5" t="s">
        <v>37</v>
      </c>
      <c r="L33" s="2" t="s">
        <v>38</v>
      </c>
      <c r="M33" s="2" t="str">
        <f t="shared" si="0"/>
        <v>MRS WATSON</v>
      </c>
      <c r="N33" s="2" t="str">
        <f t="shared" si="1"/>
        <v>mrs watson</v>
      </c>
      <c r="O33" s="2" t="str">
        <f t="shared" si="2"/>
        <v>Mrs Watson</v>
      </c>
      <c r="P33" s="3"/>
    </row>
    <row r="34" spans="11:16" ht="11.25" customHeight="1" x14ac:dyDescent="0.3">
      <c r="K34" s="4" t="s">
        <v>39</v>
      </c>
      <c r="L34" s="2" t="s">
        <v>40</v>
      </c>
      <c r="M34" s="2" t="str">
        <f t="shared" si="0"/>
        <v>MS   HERNANDEZ</v>
      </c>
      <c r="N34" s="2" t="str">
        <f t="shared" si="1"/>
        <v>ms   hernandez</v>
      </c>
      <c r="O34" s="2" t="str">
        <f t="shared" si="2"/>
        <v>Ms   Hernandez</v>
      </c>
      <c r="P34" s="3"/>
    </row>
    <row r="35" spans="11:16" ht="11.25" customHeight="1" x14ac:dyDescent="0.3">
      <c r="K35" s="4" t="s">
        <v>41</v>
      </c>
      <c r="L35" s="2" t="s">
        <v>42</v>
      </c>
      <c r="M35" s="2" t="str">
        <f t="shared" si="0"/>
        <v>MS  FULLER</v>
      </c>
      <c r="N35" s="2" t="str">
        <f t="shared" si="1"/>
        <v>ms  fuller</v>
      </c>
      <c r="O35" s="2" t="str">
        <f t="shared" si="2"/>
        <v>Ms  Fuller</v>
      </c>
      <c r="P35" s="3"/>
    </row>
    <row r="36" spans="11:16" ht="11.25" customHeight="1" x14ac:dyDescent="0.3">
      <c r="K36" s="4" t="s">
        <v>43</v>
      </c>
      <c r="L36" s="2" t="s">
        <v>44</v>
      </c>
      <c r="M36" s="2" t="str">
        <f t="shared" si="0"/>
        <v>MRS DUNN</v>
      </c>
      <c r="N36" s="2" t="str">
        <f t="shared" si="1"/>
        <v>mrs dunn</v>
      </c>
      <c r="O36" s="2" t="str">
        <f t="shared" si="2"/>
        <v>Mrs Dunn</v>
      </c>
      <c r="P36" s="3"/>
    </row>
    <row r="37" spans="11:16" ht="11.25" customHeight="1" x14ac:dyDescent="0.3">
      <c r="K37" s="4" t="s">
        <v>45</v>
      </c>
      <c r="L37" s="2" t="s">
        <v>46</v>
      </c>
      <c r="M37" s="2" t="str">
        <f t="shared" si="0"/>
        <v>MRS GRIFFIN</v>
      </c>
      <c r="N37" s="2" t="str">
        <f t="shared" si="1"/>
        <v>mrs griffin</v>
      </c>
      <c r="O37" s="2" t="str">
        <f t="shared" si="2"/>
        <v>Mrs Griffin</v>
      </c>
      <c r="P37" s="3"/>
    </row>
    <row r="38" spans="11:16" ht="11.25" customHeight="1" x14ac:dyDescent="0.3">
      <c r="K38" s="4" t="s">
        <v>47</v>
      </c>
      <c r="L38" s="2" t="s">
        <v>48</v>
      </c>
      <c r="M38" s="2" t="str">
        <f t="shared" si="0"/>
        <v>SIR  PORTER</v>
      </c>
      <c r="N38" s="2" t="str">
        <f t="shared" si="1"/>
        <v>sir  porter</v>
      </c>
      <c r="O38" s="2" t="str">
        <f t="shared" si="2"/>
        <v>Sir  Porter</v>
      </c>
      <c r="P38" s="3"/>
    </row>
    <row r="39" spans="11:16" ht="11.25" customHeight="1" x14ac:dyDescent="0.3">
      <c r="K39" s="4" t="s">
        <v>49</v>
      </c>
      <c r="L39" s="2" t="s">
        <v>50</v>
      </c>
      <c r="M39" s="2" t="str">
        <f t="shared" si="0"/>
        <v>MRS  SCOTT</v>
      </c>
      <c r="N39" s="2" t="str">
        <f t="shared" si="1"/>
        <v>mrs  scott</v>
      </c>
      <c r="O39" s="2" t="str">
        <f t="shared" si="2"/>
        <v>Mrs  Scott</v>
      </c>
      <c r="P39" s="3"/>
    </row>
    <row r="40" spans="11:16" ht="11.25" customHeight="1" x14ac:dyDescent="0.3">
      <c r="K40" s="4" t="s">
        <v>166</v>
      </c>
      <c r="L40" s="2" t="s">
        <v>51</v>
      </c>
      <c r="M40" s="2" t="str">
        <f t="shared" si="0"/>
        <v>MS  VAN HOUTEN</v>
      </c>
      <c r="N40" s="2" t="str">
        <f t="shared" si="1"/>
        <v>ms  van houten</v>
      </c>
      <c r="O40" s="2" t="str">
        <f t="shared" si="2"/>
        <v>Ms  Van Houten</v>
      </c>
      <c r="P40" s="3"/>
    </row>
    <row r="41" spans="11:16" ht="6.75" customHeight="1" thickBot="1" x14ac:dyDescent="0.3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K10:AB41"/>
  <sheetViews>
    <sheetView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19" sqref="R19"/>
    </sheetView>
  </sheetViews>
  <sheetFormatPr defaultRowHeight="10.15" x14ac:dyDescent="0.3"/>
  <cols>
    <col min="1" max="1" width="50.83203125" customWidth="1"/>
    <col min="11" max="11" width="15" customWidth="1"/>
    <col min="12" max="12" width="12.33203125" bestFit="1" customWidth="1"/>
    <col min="13" max="13" width="15" customWidth="1"/>
    <col min="14" max="15" width="10.33203125" customWidth="1"/>
    <col min="16" max="16" width="1.83203125" customWidth="1"/>
    <col min="19" max="19" width="14" customWidth="1"/>
  </cols>
  <sheetData>
    <row r="10" spans="11:28" ht="10.5" thickBot="1" x14ac:dyDescent="0.35"/>
    <row r="11" spans="11:28" ht="15" x14ac:dyDescent="0.3">
      <c r="K11" s="61" t="s">
        <v>52</v>
      </c>
      <c r="L11" s="30"/>
      <c r="M11" s="30" t="str">
        <f>kOrgName</f>
        <v>AbleOwl © 2024</v>
      </c>
      <c r="N11" s="30"/>
      <c r="O11" s="30"/>
      <c r="P11" s="31"/>
    </row>
    <row r="12" spans="11:28" ht="15" x14ac:dyDescent="0.3">
      <c r="K12" s="32"/>
      <c r="L12" s="33"/>
      <c r="M12" s="33"/>
      <c r="N12" s="33"/>
      <c r="O12" s="33"/>
      <c r="P12" s="34"/>
    </row>
    <row r="13" spans="11:28" ht="13.15" x14ac:dyDescent="0.3">
      <c r="K13" s="50"/>
      <c r="L13" s="33"/>
      <c r="M13" s="33"/>
      <c r="N13" s="33"/>
      <c r="O13" s="33"/>
      <c r="P13" s="34"/>
    </row>
    <row r="14" spans="11:28" ht="10.5" thickBot="1" x14ac:dyDescent="0.35">
      <c r="K14" s="80" t="s">
        <v>1</v>
      </c>
      <c r="L14" s="52" t="s">
        <v>2</v>
      </c>
      <c r="M14" s="52"/>
      <c r="N14" s="52"/>
      <c r="O14" s="52"/>
      <c r="P14" s="53"/>
    </row>
    <row r="15" spans="11:28" ht="6" customHeight="1" x14ac:dyDescent="0.3">
      <c r="K15" s="1"/>
      <c r="L15" s="2"/>
      <c r="M15" s="2"/>
      <c r="N15" s="2"/>
      <c r="O15" s="2"/>
      <c r="P15" s="3"/>
    </row>
    <row r="16" spans="11:28" ht="11.25" customHeight="1" x14ac:dyDescent="0.3">
      <c r="K16" s="4" t="str">
        <f>mUpperLowerProper!O16</f>
        <v xml:space="preserve">      Mr Ash</v>
      </c>
      <c r="L16" s="2" t="s">
        <v>4</v>
      </c>
      <c r="M16" s="2" t="str">
        <f>TRIM(K16)</f>
        <v>Mr Ash</v>
      </c>
      <c r="N16" s="2">
        <f>LEN(K16)</f>
        <v>12</v>
      </c>
      <c r="O16" s="2">
        <f>LEN(M16)</f>
        <v>6</v>
      </c>
      <c r="P16" s="3"/>
      <c r="S16" s="9"/>
      <c r="Z16" s="9"/>
      <c r="AB16" s="9"/>
    </row>
    <row r="17" spans="11:28" ht="11.25" customHeight="1" x14ac:dyDescent="0.3">
      <c r="K17" s="4" t="str">
        <f>mUpperLowerProper!O17</f>
        <v>Mr  Fuller</v>
      </c>
      <c r="L17" s="2" t="s">
        <v>6</v>
      </c>
      <c r="M17" s="2" t="str">
        <f t="shared" ref="M17:M40" si="0">TRIM(K17)</f>
        <v>Mr Fuller</v>
      </c>
      <c r="N17" s="2">
        <f t="shared" ref="N17:N40" si="1">LEN(K17)</f>
        <v>10</v>
      </c>
      <c r="O17" s="2">
        <f t="shared" ref="O17:O40" si="2">LEN(M17)</f>
        <v>9</v>
      </c>
      <c r="P17" s="3"/>
      <c r="S17" s="9"/>
      <c r="Z17" s="9"/>
      <c r="AB17" s="9"/>
    </row>
    <row r="18" spans="11:28" ht="11.25" customHeight="1" x14ac:dyDescent="0.3">
      <c r="K18" s="4" t="str">
        <f>mUpperLowerProper!O18</f>
        <v>Ms    Harvey</v>
      </c>
      <c r="L18" s="2" t="s">
        <v>8</v>
      </c>
      <c r="M18" s="2" t="str">
        <f t="shared" si="0"/>
        <v>Ms Harvey</v>
      </c>
      <c r="N18" s="2">
        <f t="shared" si="1"/>
        <v>12</v>
      </c>
      <c r="O18" s="2">
        <f t="shared" si="2"/>
        <v>9</v>
      </c>
      <c r="P18" s="3"/>
      <c r="S18" s="9"/>
      <c r="Z18" s="9"/>
      <c r="AB18" s="9"/>
    </row>
    <row r="19" spans="11:28" ht="11.25" customHeight="1" x14ac:dyDescent="0.3">
      <c r="K19" s="4" t="str">
        <f>mUpperLowerProper!O19</f>
        <v>Ms   Lynch</v>
      </c>
      <c r="L19" s="2" t="s">
        <v>10</v>
      </c>
      <c r="M19" s="2" t="str">
        <f t="shared" si="0"/>
        <v>Ms Lynch</v>
      </c>
      <c r="N19" s="2">
        <f t="shared" si="1"/>
        <v>10</v>
      </c>
      <c r="O19" s="2">
        <f t="shared" si="2"/>
        <v>8</v>
      </c>
      <c r="P19" s="3"/>
      <c r="S19" s="9"/>
      <c r="Z19" s="9"/>
      <c r="AB19" s="9"/>
    </row>
    <row r="20" spans="11:28" ht="11.25" customHeight="1" x14ac:dyDescent="0.3">
      <c r="K20" s="4" t="str">
        <f>mUpperLowerProper!O20</f>
        <v>Ms  Dunn</v>
      </c>
      <c r="L20" s="2" t="s">
        <v>12</v>
      </c>
      <c r="M20" s="2" t="str">
        <f t="shared" si="0"/>
        <v>Ms Dunn</v>
      </c>
      <c r="N20" s="2">
        <f t="shared" si="1"/>
        <v>8</v>
      </c>
      <c r="O20" s="2">
        <f t="shared" si="2"/>
        <v>7</v>
      </c>
      <c r="P20" s="3"/>
      <c r="S20" s="9"/>
      <c r="Z20" s="9"/>
    </row>
    <row r="21" spans="11:28" ht="11.25" customHeight="1" x14ac:dyDescent="0.3">
      <c r="K21" s="4" t="str">
        <f>mUpperLowerProper!O21</f>
        <v>Ms  Henry</v>
      </c>
      <c r="L21" s="2" t="s">
        <v>14</v>
      </c>
      <c r="M21" s="2" t="str">
        <f t="shared" si="0"/>
        <v>Ms Henry</v>
      </c>
      <c r="N21" s="2">
        <f t="shared" si="1"/>
        <v>9</v>
      </c>
      <c r="O21" s="2">
        <f t="shared" si="2"/>
        <v>8</v>
      </c>
      <c r="P21" s="3"/>
      <c r="S21" s="9"/>
      <c r="Z21" s="9"/>
      <c r="AB21" s="9"/>
    </row>
    <row r="22" spans="11:28" ht="11.25" customHeight="1" x14ac:dyDescent="0.3">
      <c r="K22" s="4" t="str">
        <f>mUpperLowerProper!O22</f>
        <v>Mr  Berry</v>
      </c>
      <c r="L22" s="2" t="s">
        <v>16</v>
      </c>
      <c r="M22" s="2" t="str">
        <f t="shared" si="0"/>
        <v>Mr Berry</v>
      </c>
      <c r="N22" s="2">
        <f t="shared" si="1"/>
        <v>9</v>
      </c>
      <c r="O22" s="2">
        <f t="shared" si="2"/>
        <v>8</v>
      </c>
      <c r="P22" s="3"/>
      <c r="S22" s="9"/>
      <c r="AB22" s="9"/>
    </row>
    <row r="23" spans="11:28" ht="11.25" customHeight="1" x14ac:dyDescent="0.3">
      <c r="K23" s="4" t="str">
        <f>mUpperLowerProper!O23</f>
        <v xml:space="preserve">Sir Porter </v>
      </c>
      <c r="L23" s="2" t="s">
        <v>18</v>
      </c>
      <c r="M23" s="2" t="str">
        <f t="shared" si="0"/>
        <v>Sir Porter</v>
      </c>
      <c r="N23" s="2">
        <f t="shared" si="1"/>
        <v>11</v>
      </c>
      <c r="O23" s="2">
        <f t="shared" si="2"/>
        <v>10</v>
      </c>
      <c r="P23" s="3"/>
      <c r="S23" s="9"/>
      <c r="AB23" s="9"/>
    </row>
    <row r="24" spans="11:28" ht="11.25" customHeight="1" x14ac:dyDescent="0.3">
      <c r="K24" s="4" t="str">
        <f>mUpperLowerProper!O24</f>
        <v>Mrs Grant</v>
      </c>
      <c r="L24" s="2" t="s">
        <v>20</v>
      </c>
      <c r="M24" s="2" t="str">
        <f t="shared" si="0"/>
        <v>Mrs Grant</v>
      </c>
      <c r="N24" s="2">
        <f t="shared" si="1"/>
        <v>9</v>
      </c>
      <c r="O24" s="2">
        <f t="shared" si="2"/>
        <v>9</v>
      </c>
      <c r="P24" s="3"/>
      <c r="S24" s="9"/>
      <c r="AB24" s="9"/>
    </row>
    <row r="25" spans="11:28" ht="11.25" customHeight="1" x14ac:dyDescent="0.3">
      <c r="K25" s="4" t="str">
        <f>mUpperLowerProper!O25</f>
        <v>Mrs Gonzalez</v>
      </c>
      <c r="L25" s="2" t="s">
        <v>22</v>
      </c>
      <c r="M25" s="2" t="str">
        <f t="shared" si="0"/>
        <v>Mrs Gonzalez</v>
      </c>
      <c r="N25" s="2">
        <f t="shared" si="1"/>
        <v>12</v>
      </c>
      <c r="O25" s="2">
        <f t="shared" si="2"/>
        <v>12</v>
      </c>
      <c r="P25" s="3"/>
      <c r="S25" s="9"/>
    </row>
    <row r="26" spans="11:28" ht="11.25" customHeight="1" x14ac:dyDescent="0.3">
      <c r="K26" s="4" t="str">
        <f>mUpperLowerProper!O26</f>
        <v>Ms  Lynch</v>
      </c>
      <c r="L26" s="2" t="s">
        <v>24</v>
      </c>
      <c r="M26" s="2" t="str">
        <f t="shared" si="0"/>
        <v>Ms Lynch</v>
      </c>
      <c r="N26" s="2">
        <f t="shared" si="1"/>
        <v>9</v>
      </c>
      <c r="O26" s="2">
        <f t="shared" si="2"/>
        <v>8</v>
      </c>
      <c r="P26" s="3"/>
    </row>
    <row r="27" spans="11:28" ht="11.25" customHeight="1" x14ac:dyDescent="0.3">
      <c r="K27" s="4" t="str">
        <f>mUpperLowerProper!O27</f>
        <v>Mrs Woods</v>
      </c>
      <c r="L27" s="2" t="s">
        <v>26</v>
      </c>
      <c r="M27" s="2" t="str">
        <f t="shared" si="0"/>
        <v>Mrs Woods</v>
      </c>
      <c r="N27" s="2">
        <f t="shared" si="1"/>
        <v>9</v>
      </c>
      <c r="O27" s="2">
        <f t="shared" si="2"/>
        <v>9</v>
      </c>
      <c r="P27" s="3"/>
    </row>
    <row r="28" spans="11:28" ht="11.25" customHeight="1" x14ac:dyDescent="0.3">
      <c r="K28" s="4" t="str">
        <f>mUpperLowerProper!O28</f>
        <v>Mrs  Gutierrez</v>
      </c>
      <c r="L28" s="2" t="s">
        <v>28</v>
      </c>
      <c r="M28" s="2" t="str">
        <f t="shared" si="0"/>
        <v>Mrs Gutierrez</v>
      </c>
      <c r="N28" s="2">
        <f t="shared" si="1"/>
        <v>14</v>
      </c>
      <c r="O28" s="2">
        <f t="shared" si="2"/>
        <v>13</v>
      </c>
      <c r="P28" s="3"/>
    </row>
    <row r="29" spans="11:28" ht="11.25" customHeight="1" x14ac:dyDescent="0.3">
      <c r="K29" s="4" t="str">
        <f>mUpperLowerProper!O29</f>
        <v>Mrs  Romero</v>
      </c>
      <c r="L29" s="2" t="s">
        <v>30</v>
      </c>
      <c r="M29" s="2" t="str">
        <f t="shared" si="0"/>
        <v>Mrs Romero</v>
      </c>
      <c r="N29" s="2">
        <f t="shared" si="1"/>
        <v>11</v>
      </c>
      <c r="O29" s="2">
        <f t="shared" si="2"/>
        <v>10</v>
      </c>
      <c r="P29" s="3"/>
    </row>
    <row r="30" spans="11:28" ht="11.25" customHeight="1" x14ac:dyDescent="0.3">
      <c r="K30" s="4" t="str">
        <f>mUpperLowerProper!O30</f>
        <v>Mrs King</v>
      </c>
      <c r="L30" s="2" t="s">
        <v>32</v>
      </c>
      <c r="M30" s="2" t="str">
        <f t="shared" si="0"/>
        <v>Mrs King</v>
      </c>
      <c r="N30" s="2">
        <f t="shared" si="1"/>
        <v>8</v>
      </c>
      <c r="O30" s="2">
        <f t="shared" si="2"/>
        <v>8</v>
      </c>
      <c r="P30" s="3"/>
    </row>
    <row r="31" spans="11:28" ht="11.25" customHeight="1" x14ac:dyDescent="0.3">
      <c r="K31" s="4" t="str">
        <f>mUpperLowerProper!O31</f>
        <v>Ms   Flores</v>
      </c>
      <c r="L31" s="2" t="s">
        <v>34</v>
      </c>
      <c r="M31" s="2" t="str">
        <f t="shared" si="0"/>
        <v>Ms Flores</v>
      </c>
      <c r="N31" s="2">
        <f t="shared" si="1"/>
        <v>11</v>
      </c>
      <c r="O31" s="2">
        <f t="shared" si="2"/>
        <v>9</v>
      </c>
      <c r="P31" s="3"/>
    </row>
    <row r="32" spans="11:28" ht="11.25" customHeight="1" x14ac:dyDescent="0.3">
      <c r="K32" s="4" t="str">
        <f>mUpperLowerProper!O32</f>
        <v>Mrs Boyd</v>
      </c>
      <c r="L32" s="2" t="s">
        <v>36</v>
      </c>
      <c r="M32" s="2" t="str">
        <f t="shared" si="0"/>
        <v>Mrs Boyd</v>
      </c>
      <c r="N32" s="2">
        <f t="shared" si="1"/>
        <v>8</v>
      </c>
      <c r="O32" s="2">
        <f t="shared" si="2"/>
        <v>8</v>
      </c>
      <c r="P32" s="3"/>
    </row>
    <row r="33" spans="11:16" ht="11.25" customHeight="1" x14ac:dyDescent="0.3">
      <c r="K33" s="4" t="str">
        <f>mUpperLowerProper!O33</f>
        <v>Mrs Watson</v>
      </c>
      <c r="L33" s="2" t="s">
        <v>38</v>
      </c>
      <c r="M33" s="2" t="str">
        <f t="shared" si="0"/>
        <v>Mrs Watson</v>
      </c>
      <c r="N33" s="2">
        <f t="shared" si="1"/>
        <v>10</v>
      </c>
      <c r="O33" s="2">
        <f t="shared" si="2"/>
        <v>10</v>
      </c>
      <c r="P33" s="3"/>
    </row>
    <row r="34" spans="11:16" ht="11.25" customHeight="1" x14ac:dyDescent="0.3">
      <c r="K34" s="4" t="str">
        <f>mUpperLowerProper!O34</f>
        <v>Ms   Hernandez</v>
      </c>
      <c r="L34" s="2" t="s">
        <v>40</v>
      </c>
      <c r="M34" s="2" t="str">
        <f t="shared" si="0"/>
        <v>Ms Hernandez</v>
      </c>
      <c r="N34" s="2">
        <f t="shared" si="1"/>
        <v>14</v>
      </c>
      <c r="O34" s="2">
        <f t="shared" si="2"/>
        <v>12</v>
      </c>
      <c r="P34" s="3"/>
    </row>
    <row r="35" spans="11:16" ht="11.25" customHeight="1" x14ac:dyDescent="0.3">
      <c r="K35" s="4" t="str">
        <f>mUpperLowerProper!O35</f>
        <v>Ms  Fuller</v>
      </c>
      <c r="L35" s="2" t="s">
        <v>42</v>
      </c>
      <c r="M35" s="2" t="str">
        <f t="shared" si="0"/>
        <v>Ms Fuller</v>
      </c>
      <c r="N35" s="2">
        <f t="shared" si="1"/>
        <v>10</v>
      </c>
      <c r="O35" s="2">
        <f t="shared" si="2"/>
        <v>9</v>
      </c>
      <c r="P35" s="3"/>
    </row>
    <row r="36" spans="11:16" ht="11.25" customHeight="1" x14ac:dyDescent="0.3">
      <c r="K36" s="4" t="str">
        <f>mUpperLowerProper!O36</f>
        <v>Mrs Dunn</v>
      </c>
      <c r="L36" s="2" t="s">
        <v>44</v>
      </c>
      <c r="M36" s="2" t="str">
        <f t="shared" si="0"/>
        <v>Mrs Dunn</v>
      </c>
      <c r="N36" s="2">
        <f t="shared" si="1"/>
        <v>8</v>
      </c>
      <c r="O36" s="2">
        <f t="shared" si="2"/>
        <v>8</v>
      </c>
      <c r="P36" s="3"/>
    </row>
    <row r="37" spans="11:16" ht="11.25" customHeight="1" x14ac:dyDescent="0.3">
      <c r="K37" s="4" t="str">
        <f>mUpperLowerProper!O37</f>
        <v>Mrs Griffin</v>
      </c>
      <c r="L37" s="2" t="s">
        <v>46</v>
      </c>
      <c r="M37" s="2" t="str">
        <f t="shared" si="0"/>
        <v>Mrs Griffin</v>
      </c>
      <c r="N37" s="2">
        <f t="shared" si="1"/>
        <v>11</v>
      </c>
      <c r="O37" s="2">
        <f t="shared" si="2"/>
        <v>11</v>
      </c>
      <c r="P37" s="3"/>
    </row>
    <row r="38" spans="11:16" ht="11.25" customHeight="1" x14ac:dyDescent="0.3">
      <c r="K38" s="4" t="str">
        <f>mUpperLowerProper!O38</f>
        <v>Sir  Porter</v>
      </c>
      <c r="L38" s="2" t="s">
        <v>48</v>
      </c>
      <c r="M38" s="2" t="str">
        <f t="shared" si="0"/>
        <v>Sir Porter</v>
      </c>
      <c r="N38" s="2">
        <f t="shared" si="1"/>
        <v>11</v>
      </c>
      <c r="O38" s="2">
        <f t="shared" si="2"/>
        <v>10</v>
      </c>
      <c r="P38" s="3"/>
    </row>
    <row r="39" spans="11:16" ht="11.25" customHeight="1" x14ac:dyDescent="0.3">
      <c r="K39" s="4" t="str">
        <f>mUpperLowerProper!O39</f>
        <v>Mrs  Scott</v>
      </c>
      <c r="L39" s="2" t="s">
        <v>50</v>
      </c>
      <c r="M39" s="2" t="str">
        <f t="shared" si="0"/>
        <v>Mrs Scott</v>
      </c>
      <c r="N39" s="2">
        <f t="shared" si="1"/>
        <v>10</v>
      </c>
      <c r="O39" s="2">
        <f t="shared" si="2"/>
        <v>9</v>
      </c>
      <c r="P39" s="3"/>
    </row>
    <row r="40" spans="11:16" ht="11.25" customHeight="1" x14ac:dyDescent="0.3">
      <c r="K40" s="4" t="str">
        <f>mUpperLowerProper!O40</f>
        <v>Ms  Van Houten</v>
      </c>
      <c r="L40" s="2" t="s">
        <v>51</v>
      </c>
      <c r="M40" s="2" t="str">
        <f t="shared" si="0"/>
        <v>Ms Van Houten</v>
      </c>
      <c r="N40" s="2">
        <f t="shared" si="1"/>
        <v>14</v>
      </c>
      <c r="O40" s="2">
        <f t="shared" si="2"/>
        <v>13</v>
      </c>
      <c r="P40" s="3"/>
    </row>
    <row r="41" spans="11:16" ht="6.75" customHeight="1" thickBot="1" x14ac:dyDescent="0.3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FFFF00"/>
  </sheetPr>
  <dimension ref="K10:V4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R16" sqref="R16"/>
    </sheetView>
  </sheetViews>
  <sheetFormatPr defaultColWidth="9.33203125" defaultRowHeight="10.15" x14ac:dyDescent="0.3"/>
  <cols>
    <col min="1" max="1" width="50.83203125" style="62" customWidth="1"/>
    <col min="2" max="10" width="9.33203125" style="62"/>
    <col min="11" max="11" width="15" style="62" customWidth="1"/>
    <col min="12" max="12" width="12.33203125" style="62" bestFit="1" customWidth="1"/>
    <col min="13" max="13" width="15.1640625" style="62" customWidth="1"/>
    <col min="14" max="14" width="13.6640625" style="62" bestFit="1" customWidth="1"/>
    <col min="15" max="15" width="1.83203125" style="62" customWidth="1"/>
    <col min="16" max="16384" width="9.33203125" style="62"/>
  </cols>
  <sheetData>
    <row r="10" spans="11:22" ht="10.5" thickBot="1" x14ac:dyDescent="0.35"/>
    <row r="11" spans="11:22" ht="15" x14ac:dyDescent="0.3">
      <c r="K11" s="70" t="s">
        <v>167</v>
      </c>
      <c r="L11" s="71"/>
      <c r="M11" s="71" t="str">
        <f>kOrgName</f>
        <v>AbleOwl © 2024</v>
      </c>
      <c r="N11" s="71"/>
      <c r="O11" s="72"/>
    </row>
    <row r="12" spans="11:22" ht="13.15" x14ac:dyDescent="0.3">
      <c r="K12" s="73"/>
      <c r="L12" s="74"/>
      <c r="M12" s="74" t="str">
        <f ca="1">kNow</f>
        <v xml:space="preserve">13-Oct-2024 7:14 PM </v>
      </c>
      <c r="N12" s="74"/>
      <c r="O12" s="75"/>
    </row>
    <row r="13" spans="11:22" ht="13.15" x14ac:dyDescent="0.3">
      <c r="K13" s="73"/>
      <c r="L13" s="74"/>
      <c r="M13" s="74"/>
      <c r="N13" s="74"/>
      <c r="O13" s="75"/>
    </row>
    <row r="14" spans="11:22" ht="13.5" customHeight="1" thickBot="1" x14ac:dyDescent="0.35">
      <c r="K14" s="78" t="s">
        <v>1</v>
      </c>
      <c r="L14" s="79" t="s">
        <v>2</v>
      </c>
      <c r="M14" s="79" t="s">
        <v>163</v>
      </c>
      <c r="N14" s="79" t="s">
        <v>164</v>
      </c>
      <c r="O14" s="77"/>
    </row>
    <row r="15" spans="11:22" x14ac:dyDescent="0.3">
      <c r="K15" s="63"/>
      <c r="M15" s="64"/>
      <c r="N15" s="64"/>
      <c r="O15" s="65"/>
    </row>
    <row r="16" spans="11:22" x14ac:dyDescent="0.3">
      <c r="K16" s="66" t="s">
        <v>162</v>
      </c>
      <c r="L16" s="2" t="s">
        <v>4</v>
      </c>
      <c r="M16" s="62" t="str">
        <f>CLEAN(K16)</f>
        <v>Mr_Ash</v>
      </c>
      <c r="N16" s="62" t="str">
        <f>SUBSTITUTE(M16,"_"," ")</f>
        <v>Mr Ash</v>
      </c>
      <c r="O16" s="65"/>
      <c r="R16"/>
      <c r="S16"/>
      <c r="T16"/>
      <c r="U16"/>
      <c r="V16"/>
    </row>
    <row r="17" spans="11:22" x14ac:dyDescent="0.3">
      <c r="K17" s="66" t="s">
        <v>141</v>
      </c>
      <c r="L17" s="2" t="s">
        <v>6</v>
      </c>
      <c r="M17" s="62" t="str">
        <f t="shared" ref="M17:M40" si="0">CLEAN(K17)</f>
        <v>Mr_Fuller</v>
      </c>
      <c r="N17" s="62" t="str">
        <f t="shared" ref="N17:N40" si="1">SUBSTITUTE(M17,"_"," ")</f>
        <v>Mr Fuller</v>
      </c>
      <c r="O17" s="65"/>
      <c r="R17"/>
      <c r="S17"/>
      <c r="T17"/>
      <c r="U17"/>
      <c r="V17"/>
    </row>
    <row r="18" spans="11:22" ht="11.25" customHeight="1" x14ac:dyDescent="0.3">
      <c r="K18" s="66" t="s">
        <v>142</v>
      </c>
      <c r="L18" s="2" t="s">
        <v>8</v>
      </c>
      <c r="M18" s="62" t="str">
        <f t="shared" si="0"/>
        <v>Ms_Harvey</v>
      </c>
      <c r="N18" s="62" t="str">
        <f t="shared" si="1"/>
        <v>Ms Harvey</v>
      </c>
      <c r="O18" s="65"/>
      <c r="R18"/>
      <c r="S18"/>
      <c r="T18"/>
      <c r="U18"/>
      <c r="V18"/>
    </row>
    <row r="19" spans="11:22" x14ac:dyDescent="0.3">
      <c r="K19" s="66" t="s">
        <v>160</v>
      </c>
      <c r="L19" s="2" t="s">
        <v>10</v>
      </c>
      <c r="M19" s="62" t="str">
        <f t="shared" si="0"/>
        <v>Ms_Lynch</v>
      </c>
      <c r="N19" s="62" t="str">
        <f t="shared" si="1"/>
        <v>Ms Lynch</v>
      </c>
      <c r="O19" s="65"/>
      <c r="R19"/>
      <c r="S19"/>
      <c r="T19"/>
      <c r="U19"/>
      <c r="V19"/>
    </row>
    <row r="20" spans="11:22" x14ac:dyDescent="0.3">
      <c r="K20" s="66" t="s">
        <v>143</v>
      </c>
      <c r="L20" s="2" t="s">
        <v>12</v>
      </c>
      <c r="M20" s="62" t="str">
        <f t="shared" si="0"/>
        <v>Ms_Dunn</v>
      </c>
      <c r="N20" s="62" t="str">
        <f t="shared" si="1"/>
        <v>Ms Dunn</v>
      </c>
      <c r="O20" s="65"/>
      <c r="R20"/>
      <c r="S20"/>
      <c r="T20"/>
      <c r="U20"/>
      <c r="V20"/>
    </row>
    <row r="21" spans="11:22" x14ac:dyDescent="0.3">
      <c r="K21" s="66" t="s">
        <v>161</v>
      </c>
      <c r="L21" s="2" t="s">
        <v>14</v>
      </c>
      <c r="M21" s="62" t="str">
        <f t="shared" si="0"/>
        <v>Ms_Henry</v>
      </c>
      <c r="N21" s="62" t="str">
        <f t="shared" si="1"/>
        <v>Ms Henry</v>
      </c>
      <c r="O21" s="65"/>
      <c r="R21"/>
      <c r="S21"/>
      <c r="T21"/>
      <c r="U21"/>
      <c r="V21"/>
    </row>
    <row r="22" spans="11:22" x14ac:dyDescent="0.3">
      <c r="K22" s="66" t="s">
        <v>144</v>
      </c>
      <c r="L22" s="2" t="s">
        <v>16</v>
      </c>
      <c r="M22" s="62" t="str">
        <f t="shared" si="0"/>
        <v>Mr_Berry</v>
      </c>
      <c r="N22" s="62" t="str">
        <f t="shared" si="1"/>
        <v>Mr Berry</v>
      </c>
      <c r="O22" s="65"/>
      <c r="R22"/>
      <c r="S22"/>
      <c r="T22"/>
      <c r="U22"/>
      <c r="V22"/>
    </row>
    <row r="23" spans="11:22" x14ac:dyDescent="0.3">
      <c r="K23" s="66" t="s">
        <v>145</v>
      </c>
      <c r="L23" s="2" t="s">
        <v>18</v>
      </c>
      <c r="M23" s="62" t="str">
        <f t="shared" si="0"/>
        <v>Sir_Porter</v>
      </c>
      <c r="N23" s="62" t="str">
        <f t="shared" si="1"/>
        <v>Sir Porter</v>
      </c>
      <c r="O23" s="65"/>
      <c r="R23"/>
      <c r="S23"/>
      <c r="T23"/>
      <c r="U23"/>
      <c r="V23"/>
    </row>
    <row r="24" spans="11:22" x14ac:dyDescent="0.3">
      <c r="K24" s="66" t="s">
        <v>146</v>
      </c>
      <c r="L24" s="2" t="s">
        <v>20</v>
      </c>
      <c r="M24" s="62" t="str">
        <f t="shared" si="0"/>
        <v>Mrs_Grant</v>
      </c>
      <c r="N24" s="62" t="str">
        <f t="shared" si="1"/>
        <v>Mrs Grant</v>
      </c>
      <c r="O24" s="65"/>
      <c r="R24"/>
      <c r="S24"/>
      <c r="T24"/>
      <c r="U24"/>
      <c r="V24"/>
    </row>
    <row r="25" spans="11:22" x14ac:dyDescent="0.3">
      <c r="K25" s="66" t="s">
        <v>147</v>
      </c>
      <c r="L25" s="2" t="s">
        <v>22</v>
      </c>
      <c r="M25" s="62" t="str">
        <f t="shared" si="0"/>
        <v>Mrs_Gonzalez</v>
      </c>
      <c r="N25" s="62" t="str">
        <f t="shared" si="1"/>
        <v>Mrs Gonzalez</v>
      </c>
      <c r="O25" s="65"/>
      <c r="R25"/>
      <c r="S25"/>
      <c r="T25"/>
      <c r="U25"/>
      <c r="V25"/>
    </row>
    <row r="26" spans="11:22" x14ac:dyDescent="0.3">
      <c r="K26" s="66" t="s">
        <v>160</v>
      </c>
      <c r="L26" s="2" t="s">
        <v>24</v>
      </c>
      <c r="M26" s="62" t="str">
        <f t="shared" si="0"/>
        <v>Ms_Lynch</v>
      </c>
      <c r="N26" s="62" t="str">
        <f t="shared" si="1"/>
        <v>Ms Lynch</v>
      </c>
      <c r="O26" s="65"/>
      <c r="R26"/>
      <c r="S26"/>
      <c r="T26"/>
      <c r="U26"/>
      <c r="V26"/>
    </row>
    <row r="27" spans="11:22" x14ac:dyDescent="0.3">
      <c r="K27" s="66" t="s">
        <v>148</v>
      </c>
      <c r="L27" s="2" t="s">
        <v>26</v>
      </c>
      <c r="M27" s="62" t="str">
        <f t="shared" si="0"/>
        <v>Mrs_Woods</v>
      </c>
      <c r="N27" s="62" t="str">
        <f t="shared" si="1"/>
        <v>Mrs Woods</v>
      </c>
      <c r="O27" s="65"/>
      <c r="R27"/>
      <c r="S27"/>
      <c r="T27"/>
      <c r="U27"/>
      <c r="V27"/>
    </row>
    <row r="28" spans="11:22" x14ac:dyDescent="0.3">
      <c r="K28" s="66" t="s">
        <v>149</v>
      </c>
      <c r="L28" s="2" t="s">
        <v>28</v>
      </c>
      <c r="M28" s="62" t="str">
        <f t="shared" si="0"/>
        <v>Mrs_Gutierrez</v>
      </c>
      <c r="N28" s="62" t="str">
        <f t="shared" si="1"/>
        <v>Mrs Gutierrez</v>
      </c>
      <c r="O28" s="65"/>
      <c r="R28"/>
      <c r="S28"/>
      <c r="T28"/>
      <c r="U28"/>
      <c r="V28"/>
    </row>
    <row r="29" spans="11:22" x14ac:dyDescent="0.3">
      <c r="K29" s="66" t="s">
        <v>150</v>
      </c>
      <c r="L29" s="2" t="s">
        <v>30</v>
      </c>
      <c r="M29" s="62" t="str">
        <f t="shared" si="0"/>
        <v>Mrs_Romero</v>
      </c>
      <c r="N29" s="62" t="str">
        <f t="shared" si="1"/>
        <v>Mrs Romero</v>
      </c>
      <c r="O29" s="65"/>
      <c r="R29"/>
      <c r="S29"/>
      <c r="T29"/>
      <c r="U29"/>
      <c r="V29"/>
    </row>
    <row r="30" spans="11:22" x14ac:dyDescent="0.3">
      <c r="K30" s="66" t="s">
        <v>151</v>
      </c>
      <c r="L30" s="2" t="s">
        <v>32</v>
      </c>
      <c r="M30" s="62" t="str">
        <f t="shared" si="0"/>
        <v>Mrs_King</v>
      </c>
      <c r="N30" s="62" t="str">
        <f t="shared" si="1"/>
        <v>Mrs King</v>
      </c>
      <c r="O30" s="65"/>
      <c r="R30"/>
      <c r="S30"/>
      <c r="T30"/>
      <c r="U30"/>
      <c r="V30"/>
    </row>
    <row r="31" spans="11:22" x14ac:dyDescent="0.3">
      <c r="K31" s="66" t="s">
        <v>152</v>
      </c>
      <c r="L31" s="2" t="s">
        <v>34</v>
      </c>
      <c r="M31" s="62" t="str">
        <f t="shared" si="0"/>
        <v>Ms_Flores</v>
      </c>
      <c r="N31" s="62" t="str">
        <f t="shared" si="1"/>
        <v>Ms Flores</v>
      </c>
      <c r="O31" s="65"/>
      <c r="R31"/>
      <c r="S31"/>
      <c r="T31"/>
      <c r="U31"/>
      <c r="V31"/>
    </row>
    <row r="32" spans="11:22" x14ac:dyDescent="0.3">
      <c r="K32" s="66" t="s">
        <v>153</v>
      </c>
      <c r="L32" s="2" t="s">
        <v>36</v>
      </c>
      <c r="M32" s="62" t="str">
        <f t="shared" si="0"/>
        <v>Mrs_Boyd</v>
      </c>
      <c r="N32" s="62" t="str">
        <f t="shared" si="1"/>
        <v>Mrs Boyd</v>
      </c>
      <c r="O32" s="65"/>
      <c r="R32"/>
      <c r="S32"/>
      <c r="T32"/>
      <c r="U32"/>
      <c r="V32"/>
    </row>
    <row r="33" spans="11:22" x14ac:dyDescent="0.3">
      <c r="K33" s="66" t="s">
        <v>154</v>
      </c>
      <c r="L33" s="2" t="s">
        <v>38</v>
      </c>
      <c r="M33" s="62" t="str">
        <f t="shared" si="0"/>
        <v>Mrs_Watson</v>
      </c>
      <c r="N33" s="62" t="str">
        <f t="shared" si="1"/>
        <v>Mrs Watson</v>
      </c>
      <c r="O33" s="65"/>
      <c r="R33"/>
      <c r="S33"/>
      <c r="T33"/>
      <c r="U33"/>
      <c r="V33"/>
    </row>
    <row r="34" spans="11:22" x14ac:dyDescent="0.3">
      <c r="K34" s="66" t="s">
        <v>155</v>
      </c>
      <c r="L34" s="2" t="s">
        <v>40</v>
      </c>
      <c r="M34" s="62" t="str">
        <f t="shared" si="0"/>
        <v>Ms_Hernandez</v>
      </c>
      <c r="N34" s="62" t="str">
        <f t="shared" si="1"/>
        <v>Ms Hernandez</v>
      </c>
      <c r="O34" s="65"/>
      <c r="R34"/>
      <c r="S34"/>
      <c r="T34"/>
      <c r="U34"/>
      <c r="V34"/>
    </row>
    <row r="35" spans="11:22" x14ac:dyDescent="0.3">
      <c r="K35" s="66" t="s">
        <v>156</v>
      </c>
      <c r="L35" s="2" t="s">
        <v>42</v>
      </c>
      <c r="M35" s="62" t="str">
        <f t="shared" si="0"/>
        <v>Ms_Fuller</v>
      </c>
      <c r="N35" s="62" t="str">
        <f t="shared" si="1"/>
        <v>Ms Fuller</v>
      </c>
      <c r="O35" s="65"/>
      <c r="R35"/>
      <c r="S35"/>
      <c r="T35"/>
      <c r="U35"/>
      <c r="V35"/>
    </row>
    <row r="36" spans="11:22" x14ac:dyDescent="0.3">
      <c r="K36" s="66" t="s">
        <v>157</v>
      </c>
      <c r="L36" s="2" t="s">
        <v>44</v>
      </c>
      <c r="M36" s="62" t="str">
        <f t="shared" si="0"/>
        <v>Mrs_Dunn</v>
      </c>
      <c r="N36" s="62" t="str">
        <f t="shared" si="1"/>
        <v>Mrs Dunn</v>
      </c>
      <c r="O36" s="65"/>
      <c r="R36"/>
      <c r="S36"/>
      <c r="T36"/>
      <c r="U36"/>
      <c r="V36"/>
    </row>
    <row r="37" spans="11:22" x14ac:dyDescent="0.3">
      <c r="K37" s="66" t="s">
        <v>158</v>
      </c>
      <c r="L37" s="2" t="s">
        <v>46</v>
      </c>
      <c r="M37" s="62" t="str">
        <f t="shared" si="0"/>
        <v>Mrs_Griffin</v>
      </c>
      <c r="N37" s="62" t="str">
        <f t="shared" si="1"/>
        <v>Mrs Griffin</v>
      </c>
      <c r="O37" s="65"/>
      <c r="R37"/>
      <c r="S37"/>
      <c r="T37"/>
      <c r="U37"/>
      <c r="V37"/>
    </row>
    <row r="38" spans="11:22" x14ac:dyDescent="0.3">
      <c r="K38" s="66" t="s">
        <v>145</v>
      </c>
      <c r="L38" s="2" t="s">
        <v>48</v>
      </c>
      <c r="M38" s="62" t="str">
        <f t="shared" si="0"/>
        <v>Sir_Porter</v>
      </c>
      <c r="N38" s="62" t="str">
        <f t="shared" si="1"/>
        <v>Sir Porter</v>
      </c>
      <c r="O38" s="65"/>
      <c r="R38"/>
      <c r="S38"/>
      <c r="T38"/>
      <c r="U38"/>
      <c r="V38"/>
    </row>
    <row r="39" spans="11:22" x14ac:dyDescent="0.3">
      <c r="K39" s="66" t="s">
        <v>159</v>
      </c>
      <c r="L39" s="2" t="s">
        <v>50</v>
      </c>
      <c r="M39" s="62" t="str">
        <f t="shared" si="0"/>
        <v>Mrs_Scott</v>
      </c>
      <c r="N39" s="62" t="str">
        <f t="shared" si="1"/>
        <v>Mrs Scott</v>
      </c>
      <c r="O39" s="65"/>
      <c r="R39"/>
      <c r="S39"/>
      <c r="T39"/>
      <c r="U39"/>
      <c r="V39"/>
    </row>
    <row r="40" spans="11:22" x14ac:dyDescent="0.3">
      <c r="K40" s="66" t="s">
        <v>165</v>
      </c>
      <c r="L40" s="2" t="s">
        <v>51</v>
      </c>
      <c r="M40" s="62" t="str">
        <f t="shared" si="0"/>
        <v>Ms_Van_Houten</v>
      </c>
      <c r="N40" s="62" t="str">
        <f t="shared" si="1"/>
        <v>Ms Van Houten</v>
      </c>
      <c r="O40" s="65"/>
      <c r="R40"/>
      <c r="S40"/>
      <c r="T40"/>
      <c r="U40"/>
      <c r="V40"/>
    </row>
    <row r="41" spans="11:22" ht="6" customHeight="1" thickBot="1" x14ac:dyDescent="0.35">
      <c r="K41" s="67"/>
      <c r="L41" s="68"/>
      <c r="M41" s="68"/>
      <c r="N41" s="68"/>
      <c r="O41" s="69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K10:R41"/>
  <sheetViews>
    <sheetView tabSelected="1"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AH58" sqref="AH58"/>
    </sheetView>
  </sheetViews>
  <sheetFormatPr defaultRowHeight="10.15" x14ac:dyDescent="0.3"/>
  <cols>
    <col min="1" max="1" width="50.83203125" customWidth="1"/>
    <col min="11" max="11" width="16.4140625" customWidth="1"/>
    <col min="12" max="12" width="12.33203125" bestFit="1" customWidth="1"/>
    <col min="13" max="13" width="3.83203125" bestFit="1" customWidth="1"/>
    <col min="14" max="14" width="6.1640625" bestFit="1" customWidth="1"/>
    <col min="15" max="15" width="3.6640625" bestFit="1" customWidth="1"/>
    <col min="18" max="18" width="1.83203125" customWidth="1"/>
  </cols>
  <sheetData>
    <row r="10" spans="11:18" ht="10.5" thickBot="1" x14ac:dyDescent="0.35"/>
    <row r="11" spans="11:18" ht="15" x14ac:dyDescent="0.3">
      <c r="K11" s="61" t="s">
        <v>1568</v>
      </c>
      <c r="L11" s="30"/>
      <c r="M11" s="30"/>
      <c r="N11" s="30" t="str">
        <f>kOrgName</f>
        <v>AbleOwl © 2024</v>
      </c>
      <c r="O11" s="30"/>
      <c r="P11" s="30"/>
      <c r="Q11" s="30"/>
      <c r="R11" s="31"/>
    </row>
    <row r="12" spans="11:18" ht="15" x14ac:dyDescent="0.3">
      <c r="K12" s="32"/>
      <c r="L12" s="33"/>
      <c r="M12" s="33"/>
      <c r="N12" s="33" t="str">
        <f ca="1">kNow</f>
        <v xml:space="preserve">13-Oct-2024 7:14 PM </v>
      </c>
      <c r="O12" s="33"/>
      <c r="P12" s="33"/>
      <c r="Q12" s="33"/>
      <c r="R12" s="34"/>
    </row>
    <row r="13" spans="11:18" ht="13.15" x14ac:dyDescent="0.3">
      <c r="K13" s="50"/>
      <c r="L13" s="33"/>
      <c r="M13" s="33"/>
      <c r="N13" s="33"/>
      <c r="O13" s="33"/>
      <c r="P13" s="33"/>
      <c r="Q13" s="33"/>
      <c r="R13" s="34"/>
    </row>
    <row r="14" spans="11:18" ht="10.5" thickBot="1" x14ac:dyDescent="0.35">
      <c r="K14" s="36" t="s">
        <v>1</v>
      </c>
      <c r="L14" s="52" t="s">
        <v>2</v>
      </c>
      <c r="M14" s="52"/>
      <c r="N14" s="52"/>
      <c r="O14" s="52"/>
      <c r="P14" s="52"/>
      <c r="Q14" s="52"/>
      <c r="R14" s="53"/>
    </row>
    <row r="15" spans="11:18" ht="6" customHeight="1" x14ac:dyDescent="0.3">
      <c r="K15" s="1"/>
      <c r="L15" s="2"/>
      <c r="M15" s="2"/>
      <c r="N15" s="2"/>
      <c r="O15" s="2"/>
      <c r="P15" s="2"/>
      <c r="Q15" s="2"/>
      <c r="R15" s="3"/>
    </row>
    <row r="16" spans="11:18" ht="11.25" customHeight="1" x14ac:dyDescent="0.3">
      <c r="K16" s="4" t="s">
        <v>53</v>
      </c>
      <c r="L16" s="2" t="s">
        <v>4</v>
      </c>
      <c r="M16" s="2" t="str">
        <f>LEFT(L16,2)</f>
        <v>AS</v>
      </c>
      <c r="N16" s="2" t="str">
        <f>MID(L16,4,5)</f>
        <v>64707</v>
      </c>
      <c r="O16" s="2" t="str">
        <f>RIGHT(L16,2)</f>
        <v>NZ</v>
      </c>
      <c r="P16" s="2" t="str">
        <f>O16&amp;N16</f>
        <v>NZ64707</v>
      </c>
      <c r="Q16" s="2"/>
      <c r="R16" s="3"/>
    </row>
    <row r="17" spans="11:18" ht="11.25" customHeight="1" x14ac:dyDescent="0.3">
      <c r="K17" s="4" t="s">
        <v>5</v>
      </c>
      <c r="L17" s="2" t="s">
        <v>6</v>
      </c>
      <c r="M17" s="2" t="str">
        <f t="shared" ref="M17:M40" si="0">LEFT(L17,2)</f>
        <v>ZS</v>
      </c>
      <c r="N17" s="2" t="str">
        <f t="shared" ref="N17:N40" si="1">MID(L17,4,5)</f>
        <v>32723</v>
      </c>
      <c r="O17" s="2" t="str">
        <f t="shared" ref="O17:O40" si="2">RIGHT(L17,2)</f>
        <v>AU</v>
      </c>
      <c r="P17" s="2" t="str">
        <f t="shared" ref="P17:P40" si="3">O17&amp;N17</f>
        <v>AU32723</v>
      </c>
      <c r="Q17" s="2"/>
      <c r="R17" s="3"/>
    </row>
    <row r="18" spans="11:18" ht="11.25" customHeight="1" x14ac:dyDescent="0.3">
      <c r="K18" s="4" t="s">
        <v>7</v>
      </c>
      <c r="L18" s="2" t="s">
        <v>8</v>
      </c>
      <c r="M18" s="2" t="str">
        <f t="shared" si="0"/>
        <v>OS</v>
      </c>
      <c r="N18" s="2" t="str">
        <f t="shared" si="1"/>
        <v>86622</v>
      </c>
      <c r="O18" s="2" t="str">
        <f t="shared" si="2"/>
        <v>ZA</v>
      </c>
      <c r="P18" s="2" t="str">
        <f t="shared" si="3"/>
        <v>ZA86622</v>
      </c>
      <c r="Q18" s="2"/>
      <c r="R18" s="3"/>
    </row>
    <row r="19" spans="11:18" ht="11.25" customHeight="1" x14ac:dyDescent="0.3">
      <c r="K19" s="4" t="s">
        <v>9</v>
      </c>
      <c r="L19" s="2" t="s">
        <v>10</v>
      </c>
      <c r="M19" s="2" t="str">
        <f t="shared" si="0"/>
        <v>RS</v>
      </c>
      <c r="N19" s="2" t="str">
        <f t="shared" si="1"/>
        <v>82138</v>
      </c>
      <c r="O19" s="2" t="str">
        <f t="shared" si="2"/>
        <v>ZA</v>
      </c>
      <c r="P19" s="2" t="str">
        <f t="shared" si="3"/>
        <v>ZA82138</v>
      </c>
      <c r="Q19" s="2"/>
      <c r="R19" s="3"/>
    </row>
    <row r="20" spans="11:18" ht="11.25" customHeight="1" x14ac:dyDescent="0.3">
      <c r="K20" s="4" t="s">
        <v>11</v>
      </c>
      <c r="L20" s="2" t="s">
        <v>12</v>
      </c>
      <c r="M20" s="2" t="str">
        <f t="shared" si="0"/>
        <v>DE</v>
      </c>
      <c r="N20" s="2" t="str">
        <f t="shared" si="1"/>
        <v>46894</v>
      </c>
      <c r="O20" s="2" t="str">
        <f t="shared" si="2"/>
        <v>AU</v>
      </c>
      <c r="P20" s="2" t="str">
        <f t="shared" si="3"/>
        <v>AU46894</v>
      </c>
      <c r="Q20" s="2"/>
      <c r="R20" s="3"/>
    </row>
    <row r="21" spans="11:18" ht="11.25" customHeight="1" x14ac:dyDescent="0.3">
      <c r="K21" s="4" t="s">
        <v>13</v>
      </c>
      <c r="L21" s="2" t="s">
        <v>14</v>
      </c>
      <c r="M21" s="2" t="str">
        <f t="shared" si="0"/>
        <v>LT</v>
      </c>
      <c r="N21" s="2" t="str">
        <f t="shared" si="1"/>
        <v>07228</v>
      </c>
      <c r="O21" s="2" t="str">
        <f t="shared" si="2"/>
        <v>UK</v>
      </c>
      <c r="P21" s="2" t="str">
        <f t="shared" si="3"/>
        <v>UK07228</v>
      </c>
      <c r="Q21" s="2"/>
      <c r="R21" s="3"/>
    </row>
    <row r="22" spans="11:18" ht="11.25" customHeight="1" x14ac:dyDescent="0.3">
      <c r="K22" s="4" t="s">
        <v>15</v>
      </c>
      <c r="L22" s="2" t="s">
        <v>16</v>
      </c>
      <c r="M22" s="2" t="str">
        <f t="shared" si="0"/>
        <v>LE</v>
      </c>
      <c r="N22" s="2" t="str">
        <f t="shared" si="1"/>
        <v>17669</v>
      </c>
      <c r="O22" s="2" t="str">
        <f t="shared" si="2"/>
        <v>NZ</v>
      </c>
      <c r="P22" s="2" t="str">
        <f t="shared" si="3"/>
        <v>NZ17669</v>
      </c>
      <c r="Q22" s="2"/>
      <c r="R22" s="3"/>
    </row>
    <row r="23" spans="11:18" ht="11.25" customHeight="1" x14ac:dyDescent="0.3">
      <c r="K23" s="4" t="s">
        <v>17</v>
      </c>
      <c r="L23" s="2" t="s">
        <v>18</v>
      </c>
      <c r="M23" s="2" t="str">
        <f t="shared" si="0"/>
        <v>DS</v>
      </c>
      <c r="N23" s="2" t="str">
        <f t="shared" si="1"/>
        <v>67223</v>
      </c>
      <c r="O23" s="2" t="str">
        <f t="shared" si="2"/>
        <v>NZ</v>
      </c>
      <c r="P23" s="2" t="str">
        <f t="shared" si="3"/>
        <v>NZ67223</v>
      </c>
      <c r="Q23" s="2"/>
      <c r="R23" s="3"/>
    </row>
    <row r="24" spans="11:18" ht="11.25" customHeight="1" x14ac:dyDescent="0.3">
      <c r="K24" s="4" t="s">
        <v>19</v>
      </c>
      <c r="L24" s="2" t="s">
        <v>20</v>
      </c>
      <c r="M24" s="2" t="str">
        <f t="shared" si="0"/>
        <v>DE</v>
      </c>
      <c r="N24" s="2" t="str">
        <f t="shared" si="1"/>
        <v>00545</v>
      </c>
      <c r="O24" s="2" t="str">
        <f t="shared" si="2"/>
        <v>UK</v>
      </c>
      <c r="P24" s="2" t="str">
        <f t="shared" si="3"/>
        <v>UK00545</v>
      </c>
      <c r="Q24" s="2"/>
      <c r="R24" s="3"/>
    </row>
    <row r="25" spans="11:18" ht="11.25" customHeight="1" x14ac:dyDescent="0.3">
      <c r="K25" s="4" t="s">
        <v>21</v>
      </c>
      <c r="L25" s="2" t="s">
        <v>22</v>
      </c>
      <c r="M25" s="2" t="str">
        <f t="shared" si="0"/>
        <v>RO</v>
      </c>
      <c r="N25" s="2" t="str">
        <f t="shared" si="1"/>
        <v>74354</v>
      </c>
      <c r="O25" s="2" t="str">
        <f t="shared" si="2"/>
        <v>NZ</v>
      </c>
      <c r="P25" s="2" t="str">
        <f t="shared" si="3"/>
        <v>NZ74354</v>
      </c>
      <c r="Q25" s="2"/>
      <c r="R25" s="3"/>
    </row>
    <row r="26" spans="11:18" ht="11.25" customHeight="1" x14ac:dyDescent="0.3">
      <c r="K26" s="4" t="s">
        <v>23</v>
      </c>
      <c r="L26" s="2" t="s">
        <v>24</v>
      </c>
      <c r="M26" s="2" t="str">
        <f t="shared" si="0"/>
        <v>ST</v>
      </c>
      <c r="N26" s="2" t="str">
        <f t="shared" si="1"/>
        <v>62159</v>
      </c>
      <c r="O26" s="2" t="str">
        <f t="shared" si="2"/>
        <v>UK</v>
      </c>
      <c r="P26" s="2" t="str">
        <f t="shared" si="3"/>
        <v>UK62159</v>
      </c>
      <c r="Q26" s="2"/>
      <c r="R26" s="3"/>
    </row>
    <row r="27" spans="11:18" ht="11.25" customHeight="1" x14ac:dyDescent="0.3">
      <c r="K27" s="4" t="s">
        <v>25</v>
      </c>
      <c r="L27" s="2" t="s">
        <v>26</v>
      </c>
      <c r="M27" s="2" t="str">
        <f t="shared" si="0"/>
        <v>OT</v>
      </c>
      <c r="N27" s="2" t="str">
        <f t="shared" si="1"/>
        <v>36552</v>
      </c>
      <c r="O27" s="2" t="str">
        <f t="shared" si="2"/>
        <v>UK</v>
      </c>
      <c r="P27" s="2" t="str">
        <f t="shared" si="3"/>
        <v>UK36552</v>
      </c>
      <c r="Q27" s="2"/>
      <c r="R27" s="3"/>
    </row>
    <row r="28" spans="11:18" ht="11.25" customHeight="1" x14ac:dyDescent="0.3">
      <c r="K28" s="4" t="s">
        <v>27</v>
      </c>
      <c r="L28" s="2" t="s">
        <v>28</v>
      </c>
      <c r="M28" s="2" t="str">
        <f t="shared" si="0"/>
        <v>TO</v>
      </c>
      <c r="N28" s="2" t="str">
        <f t="shared" si="1"/>
        <v>71807</v>
      </c>
      <c r="O28" s="2" t="str">
        <f t="shared" si="2"/>
        <v>ZA</v>
      </c>
      <c r="P28" s="2" t="str">
        <f t="shared" si="3"/>
        <v>ZA71807</v>
      </c>
      <c r="Q28" s="2"/>
      <c r="R28" s="3"/>
    </row>
    <row r="29" spans="11:18" ht="11.25" customHeight="1" x14ac:dyDescent="0.3">
      <c r="K29" s="4" t="s">
        <v>29</v>
      </c>
      <c r="L29" s="2" t="s">
        <v>30</v>
      </c>
      <c r="M29" s="2" t="str">
        <f t="shared" si="0"/>
        <v>SO</v>
      </c>
      <c r="N29" s="2" t="str">
        <f t="shared" si="1"/>
        <v>82526</v>
      </c>
      <c r="O29" s="2" t="str">
        <f t="shared" si="2"/>
        <v>AU</v>
      </c>
      <c r="P29" s="2" t="str">
        <f t="shared" si="3"/>
        <v>AU82526</v>
      </c>
      <c r="Q29" s="2"/>
      <c r="R29" s="3"/>
    </row>
    <row r="30" spans="11:18" ht="11.25" customHeight="1" x14ac:dyDescent="0.3">
      <c r="K30" s="4" t="s">
        <v>31</v>
      </c>
      <c r="L30" s="2" t="s">
        <v>32</v>
      </c>
      <c r="M30" s="2" t="str">
        <f t="shared" si="0"/>
        <v>TE</v>
      </c>
      <c r="N30" s="2" t="str">
        <f t="shared" si="1"/>
        <v>71266</v>
      </c>
      <c r="O30" s="2" t="str">
        <f t="shared" si="2"/>
        <v>AU</v>
      </c>
      <c r="P30" s="2" t="str">
        <f t="shared" si="3"/>
        <v>AU71266</v>
      </c>
      <c r="Q30" s="2"/>
      <c r="R30" s="3"/>
    </row>
    <row r="31" spans="11:18" ht="11.25" customHeight="1" x14ac:dyDescent="0.3">
      <c r="K31" s="4" t="s">
        <v>33</v>
      </c>
      <c r="L31" s="2" t="s">
        <v>34</v>
      </c>
      <c r="M31" s="2" t="str">
        <f t="shared" si="0"/>
        <v>UE</v>
      </c>
      <c r="N31" s="2" t="str">
        <f t="shared" si="1"/>
        <v>69242</v>
      </c>
      <c r="O31" s="2" t="str">
        <f t="shared" si="2"/>
        <v>ZA</v>
      </c>
      <c r="P31" s="2" t="str">
        <f t="shared" si="3"/>
        <v>ZA69242</v>
      </c>
      <c r="Q31" s="2"/>
      <c r="R31" s="3"/>
    </row>
    <row r="32" spans="11:18" ht="11.25" customHeight="1" x14ac:dyDescent="0.3">
      <c r="K32" s="4" t="s">
        <v>35</v>
      </c>
      <c r="L32" s="2" t="s">
        <v>36</v>
      </c>
      <c r="M32" s="2" t="str">
        <f t="shared" si="0"/>
        <v>DE</v>
      </c>
      <c r="N32" s="2" t="str">
        <f t="shared" si="1"/>
        <v>50969</v>
      </c>
      <c r="O32" s="2" t="str">
        <f t="shared" si="2"/>
        <v>ZA</v>
      </c>
      <c r="P32" s="2" t="str">
        <f t="shared" si="3"/>
        <v>ZA50969</v>
      </c>
      <c r="Q32" s="2"/>
      <c r="R32" s="3"/>
    </row>
    <row r="33" spans="11:18" ht="11.25" customHeight="1" x14ac:dyDescent="0.3">
      <c r="K33" s="5" t="s">
        <v>37</v>
      </c>
      <c r="L33" s="2" t="s">
        <v>38</v>
      </c>
      <c r="M33" s="2" t="str">
        <f t="shared" si="0"/>
        <v>UO</v>
      </c>
      <c r="N33" s="2" t="str">
        <f t="shared" si="1"/>
        <v>56871</v>
      </c>
      <c r="O33" s="2" t="str">
        <f t="shared" si="2"/>
        <v>AU</v>
      </c>
      <c r="P33" s="2" t="str">
        <f t="shared" si="3"/>
        <v>AU56871</v>
      </c>
      <c r="Q33" s="2"/>
      <c r="R33" s="3"/>
    </row>
    <row r="34" spans="11:18" ht="11.25" customHeight="1" x14ac:dyDescent="0.3">
      <c r="K34" s="4" t="s">
        <v>39</v>
      </c>
      <c r="L34" s="2" t="s">
        <v>40</v>
      </c>
      <c r="M34" s="2" t="str">
        <f t="shared" si="0"/>
        <v>LT</v>
      </c>
      <c r="N34" s="2" t="str">
        <f t="shared" si="1"/>
        <v>66643</v>
      </c>
      <c r="O34" s="2" t="str">
        <f t="shared" si="2"/>
        <v>ZA</v>
      </c>
      <c r="P34" s="2" t="str">
        <f t="shared" si="3"/>
        <v>ZA66643</v>
      </c>
      <c r="Q34" s="2"/>
      <c r="R34" s="3"/>
    </row>
    <row r="35" spans="11:18" ht="11.25" customHeight="1" x14ac:dyDescent="0.3">
      <c r="K35" s="4" t="s">
        <v>41</v>
      </c>
      <c r="L35" s="2" t="s">
        <v>42</v>
      </c>
      <c r="M35" s="2" t="str">
        <f t="shared" si="0"/>
        <v>OT</v>
      </c>
      <c r="N35" s="2" t="str">
        <f t="shared" si="1"/>
        <v>16050</v>
      </c>
      <c r="O35" s="2" t="str">
        <f t="shared" si="2"/>
        <v>UK</v>
      </c>
      <c r="P35" s="2" t="str">
        <f t="shared" si="3"/>
        <v>UK16050</v>
      </c>
      <c r="Q35" s="2"/>
      <c r="R35" s="3"/>
    </row>
    <row r="36" spans="11:18" ht="11.25" customHeight="1" x14ac:dyDescent="0.3">
      <c r="K36" s="4" t="s">
        <v>43</v>
      </c>
      <c r="L36" s="2" t="s">
        <v>44</v>
      </c>
      <c r="M36" s="2" t="str">
        <f t="shared" si="0"/>
        <v>AS</v>
      </c>
      <c r="N36" s="2" t="str">
        <f t="shared" si="1"/>
        <v>17614</v>
      </c>
      <c r="O36" s="2" t="str">
        <f t="shared" si="2"/>
        <v>ZA</v>
      </c>
      <c r="P36" s="2" t="str">
        <f t="shared" si="3"/>
        <v>ZA17614</v>
      </c>
      <c r="Q36" s="2"/>
      <c r="R36" s="3"/>
    </row>
    <row r="37" spans="11:18" ht="11.25" customHeight="1" x14ac:dyDescent="0.3">
      <c r="K37" s="4" t="s">
        <v>45</v>
      </c>
      <c r="L37" s="2" t="s">
        <v>46</v>
      </c>
      <c r="M37" s="2" t="str">
        <f t="shared" si="0"/>
        <v>ZE</v>
      </c>
      <c r="N37" s="2" t="str">
        <f t="shared" si="1"/>
        <v>83901</v>
      </c>
      <c r="O37" s="2" t="str">
        <f t="shared" si="2"/>
        <v>AU</v>
      </c>
      <c r="P37" s="2" t="str">
        <f t="shared" si="3"/>
        <v>AU83901</v>
      </c>
      <c r="Q37" s="2"/>
      <c r="R37" s="3"/>
    </row>
    <row r="38" spans="11:18" ht="11.25" customHeight="1" x14ac:dyDescent="0.3">
      <c r="K38" s="4" t="s">
        <v>47</v>
      </c>
      <c r="L38" s="2" t="s">
        <v>48</v>
      </c>
      <c r="M38" s="2" t="str">
        <f t="shared" si="0"/>
        <v>LT</v>
      </c>
      <c r="N38" s="2" t="str">
        <f t="shared" si="1"/>
        <v>48404</v>
      </c>
      <c r="O38" s="2" t="str">
        <f t="shared" si="2"/>
        <v>AU</v>
      </c>
      <c r="P38" s="2" t="str">
        <f t="shared" si="3"/>
        <v>AU48404</v>
      </c>
      <c r="Q38" s="2"/>
      <c r="R38" s="3"/>
    </row>
    <row r="39" spans="11:18" ht="11.25" customHeight="1" x14ac:dyDescent="0.3">
      <c r="K39" s="4" t="s">
        <v>49</v>
      </c>
      <c r="L39" s="2" t="s">
        <v>50</v>
      </c>
      <c r="M39" s="2" t="str">
        <f t="shared" si="0"/>
        <v>RO</v>
      </c>
      <c r="N39" s="2" t="str">
        <f t="shared" si="1"/>
        <v>87396</v>
      </c>
      <c r="O39" s="2" t="str">
        <f t="shared" si="2"/>
        <v>NZ</v>
      </c>
      <c r="P39" s="2" t="str">
        <f t="shared" si="3"/>
        <v>NZ87396</v>
      </c>
      <c r="Q39" s="2"/>
      <c r="R39" s="3"/>
    </row>
    <row r="40" spans="11:18" ht="11.25" customHeight="1" x14ac:dyDescent="0.3">
      <c r="K40" s="4" t="s">
        <v>166</v>
      </c>
      <c r="L40" s="2" t="s">
        <v>51</v>
      </c>
      <c r="M40" s="2" t="str">
        <f t="shared" si="0"/>
        <v>US</v>
      </c>
      <c r="N40" s="2" t="str">
        <f t="shared" si="1"/>
        <v>67259</v>
      </c>
      <c r="O40" s="2" t="str">
        <f t="shared" si="2"/>
        <v>NZ</v>
      </c>
      <c r="P40" s="2" t="str">
        <f t="shared" si="3"/>
        <v>NZ67259</v>
      </c>
      <c r="Q40" s="2"/>
      <c r="R40" s="3"/>
    </row>
    <row r="41" spans="11:18" ht="6.75" customHeight="1" thickBot="1" x14ac:dyDescent="0.35">
      <c r="K41" s="6"/>
      <c r="L41" s="7"/>
      <c r="M41" s="7"/>
      <c r="N41" s="7"/>
      <c r="O41" s="7"/>
      <c r="P41" s="7"/>
      <c r="Q41" s="7"/>
      <c r="R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FF00"/>
  </sheetPr>
  <dimension ref="K10:O41"/>
  <sheetViews>
    <sheetView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K16" sqref="K16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11:15" ht="10.5" thickBot="1" x14ac:dyDescent="0.35"/>
    <row r="11" spans="11:15" ht="15" x14ac:dyDescent="0.3">
      <c r="K11" s="11" t="s">
        <v>54</v>
      </c>
      <c r="L11" s="12"/>
      <c r="M11" s="12" t="str">
        <f>kOrgName</f>
        <v>AbleOwl © 2024</v>
      </c>
      <c r="N11" s="12"/>
      <c r="O11" s="13"/>
    </row>
    <row r="12" spans="11:15" ht="15" x14ac:dyDescent="0.3">
      <c r="K12" s="14"/>
      <c r="L12" s="15"/>
      <c r="M12" s="16" t="str">
        <f ca="1">kNow</f>
        <v xml:space="preserve">13-Oct-2024 7:14 PM </v>
      </c>
      <c r="N12" s="15"/>
      <c r="O12" s="17"/>
    </row>
    <row r="13" spans="11:15" ht="13.15" x14ac:dyDescent="0.3">
      <c r="K13" s="18"/>
      <c r="L13" s="15"/>
      <c r="M13" s="15"/>
      <c r="N13" s="15"/>
      <c r="O13" s="17"/>
    </row>
    <row r="14" spans="11:15" ht="10.5" thickBot="1" x14ac:dyDescent="0.35">
      <c r="K14" s="19" t="s">
        <v>55</v>
      </c>
      <c r="L14" s="20"/>
      <c r="M14" s="20"/>
      <c r="N14" s="20"/>
      <c r="O14" s="21"/>
    </row>
    <row r="15" spans="11:15" ht="6" customHeight="1" x14ac:dyDescent="0.3">
      <c r="K15" s="22"/>
      <c r="L15" s="23"/>
      <c r="M15" s="23"/>
      <c r="N15" s="23"/>
      <c r="O15" s="24"/>
    </row>
    <row r="16" spans="11:15" ht="11.25" customHeight="1" x14ac:dyDescent="0.3">
      <c r="K16" s="4" t="s">
        <v>1563</v>
      </c>
      <c r="L16" s="23"/>
      <c r="M16" s="23"/>
      <c r="N16" s="23"/>
      <c r="O16" s="24"/>
    </row>
    <row r="17" spans="11:15" ht="11.25" customHeight="1" x14ac:dyDescent="0.3">
      <c r="K17" s="4" t="s">
        <v>57</v>
      </c>
      <c r="L17" s="23"/>
      <c r="M17" s="23"/>
      <c r="N17" s="23"/>
      <c r="O17" s="24"/>
    </row>
    <row r="18" spans="11:15" ht="11.25" customHeight="1" x14ac:dyDescent="0.3">
      <c r="K18" s="4" t="s">
        <v>58</v>
      </c>
      <c r="L18" s="23"/>
      <c r="M18" s="23"/>
      <c r="N18" s="23"/>
      <c r="O18" s="24"/>
    </row>
    <row r="19" spans="11:15" ht="11.25" customHeight="1" x14ac:dyDescent="0.3">
      <c r="K19" s="4" t="s">
        <v>59</v>
      </c>
      <c r="L19" s="23"/>
      <c r="M19" s="23"/>
      <c r="N19" s="23"/>
      <c r="O19" s="24"/>
    </row>
    <row r="20" spans="11:15" ht="11.25" customHeight="1" x14ac:dyDescent="0.3">
      <c r="K20" s="4" t="s">
        <v>60</v>
      </c>
      <c r="L20" s="23"/>
      <c r="M20" s="23"/>
      <c r="N20" s="23"/>
      <c r="O20" s="24"/>
    </row>
    <row r="21" spans="11:15" ht="11.25" customHeight="1" x14ac:dyDescent="0.3">
      <c r="K21" s="4" t="s">
        <v>61</v>
      </c>
      <c r="L21" s="23"/>
      <c r="M21" s="23"/>
      <c r="N21" s="23"/>
      <c r="O21" s="24"/>
    </row>
    <row r="22" spans="11:15" ht="11.25" customHeight="1" x14ac:dyDescent="0.3">
      <c r="K22" s="4" t="s">
        <v>62</v>
      </c>
      <c r="L22" s="23"/>
      <c r="M22" s="23"/>
      <c r="N22" s="23"/>
      <c r="O22" s="24"/>
    </row>
    <row r="23" spans="11:15" ht="11.25" customHeight="1" x14ac:dyDescent="0.3">
      <c r="K23" s="4" t="s">
        <v>63</v>
      </c>
      <c r="L23" s="23"/>
      <c r="M23" s="23"/>
      <c r="N23" s="23"/>
      <c r="O23" s="24"/>
    </row>
    <row r="24" spans="11:15" ht="11.25" customHeight="1" x14ac:dyDescent="0.3">
      <c r="K24" s="4" t="s">
        <v>64</v>
      </c>
      <c r="L24" s="23"/>
      <c r="M24" s="23"/>
      <c r="N24" s="23"/>
      <c r="O24" s="24"/>
    </row>
    <row r="25" spans="11:15" ht="11.25" customHeight="1" x14ac:dyDescent="0.3">
      <c r="K25" s="4" t="s">
        <v>65</v>
      </c>
      <c r="L25" s="23"/>
      <c r="M25" s="23"/>
      <c r="N25" s="23"/>
      <c r="O25" s="24"/>
    </row>
    <row r="26" spans="11:15" ht="11.25" customHeight="1" x14ac:dyDescent="0.3">
      <c r="K26" s="4" t="s">
        <v>66</v>
      </c>
      <c r="L26" s="23"/>
      <c r="M26" s="23"/>
      <c r="N26" s="23"/>
      <c r="O26" s="24"/>
    </row>
    <row r="27" spans="11:15" ht="11.25" customHeight="1" x14ac:dyDescent="0.3">
      <c r="K27" s="4" t="s">
        <v>67</v>
      </c>
      <c r="L27" s="23"/>
      <c r="M27" s="23"/>
      <c r="N27" s="23"/>
      <c r="O27" s="24"/>
    </row>
    <row r="28" spans="11:15" ht="11.25" customHeight="1" x14ac:dyDescent="0.3">
      <c r="K28" s="4" t="s">
        <v>68</v>
      </c>
      <c r="L28" s="23"/>
      <c r="M28" s="23"/>
      <c r="N28" s="23"/>
      <c r="O28" s="24"/>
    </row>
    <row r="29" spans="11:15" ht="11.25" customHeight="1" x14ac:dyDescent="0.3">
      <c r="K29" s="4" t="s">
        <v>69</v>
      </c>
      <c r="L29" s="23"/>
      <c r="M29" s="23"/>
      <c r="N29" s="23"/>
      <c r="O29" s="24"/>
    </row>
    <row r="30" spans="11:15" ht="11.25" customHeight="1" x14ac:dyDescent="0.3">
      <c r="K30" s="4" t="s">
        <v>70</v>
      </c>
      <c r="L30" s="23"/>
      <c r="M30" s="23"/>
      <c r="N30" s="23"/>
      <c r="O30" s="24"/>
    </row>
    <row r="31" spans="11:15" ht="11.25" customHeight="1" x14ac:dyDescent="0.3">
      <c r="K31" s="4" t="s">
        <v>71</v>
      </c>
      <c r="L31" s="23"/>
      <c r="M31" s="23"/>
      <c r="N31" s="23"/>
      <c r="O31" s="24"/>
    </row>
    <row r="32" spans="11:15" ht="11.25" customHeight="1" x14ac:dyDescent="0.3">
      <c r="K32" s="4" t="s">
        <v>72</v>
      </c>
      <c r="L32" s="23"/>
      <c r="M32" s="23"/>
      <c r="N32" s="23"/>
      <c r="O32" s="24"/>
    </row>
    <row r="33" spans="11:15" ht="11.25" customHeight="1" x14ac:dyDescent="0.3">
      <c r="K33" s="4" t="s">
        <v>73</v>
      </c>
      <c r="L33" s="23"/>
      <c r="M33" s="23"/>
      <c r="N33" s="23"/>
      <c r="O33" s="24"/>
    </row>
    <row r="34" spans="11:15" ht="11.25" customHeight="1" x14ac:dyDescent="0.3">
      <c r="K34" s="4" t="s">
        <v>74</v>
      </c>
      <c r="L34" s="23"/>
      <c r="M34" s="23"/>
      <c r="N34" s="23"/>
      <c r="O34" s="24"/>
    </row>
    <row r="35" spans="11:15" ht="11.25" customHeight="1" x14ac:dyDescent="0.3">
      <c r="K35" s="4" t="s">
        <v>75</v>
      </c>
      <c r="L35" s="23"/>
      <c r="M35" s="23"/>
      <c r="N35" s="23"/>
      <c r="O35" s="24"/>
    </row>
    <row r="36" spans="11:15" ht="11.25" customHeight="1" x14ac:dyDescent="0.3">
      <c r="K36" s="4" t="s">
        <v>76</v>
      </c>
      <c r="L36" s="23"/>
      <c r="M36" s="23"/>
      <c r="N36" s="23"/>
      <c r="O36" s="24"/>
    </row>
    <row r="37" spans="11:15" ht="11.25" customHeight="1" x14ac:dyDescent="0.3">
      <c r="K37" s="4" t="s">
        <v>78</v>
      </c>
      <c r="L37" s="23"/>
      <c r="M37" s="23"/>
      <c r="N37" s="23"/>
      <c r="O37" s="24"/>
    </row>
    <row r="38" spans="11:15" ht="11.25" customHeight="1" x14ac:dyDescent="0.3">
      <c r="K38" s="4" t="s">
        <v>79</v>
      </c>
      <c r="L38" s="23"/>
      <c r="M38" s="23"/>
      <c r="N38" s="23"/>
      <c r="O38" s="24"/>
    </row>
    <row r="39" spans="11:15" ht="11.25" customHeight="1" x14ac:dyDescent="0.3">
      <c r="K39" s="4" t="s">
        <v>80</v>
      </c>
      <c r="L39" s="23"/>
      <c r="M39" s="23"/>
      <c r="N39" s="23"/>
      <c r="O39" s="24"/>
    </row>
    <row r="40" spans="11:15" ht="11.25" customHeight="1" x14ac:dyDescent="0.3">
      <c r="K40" s="4" t="s">
        <v>81</v>
      </c>
      <c r="L40" s="23"/>
      <c r="M40" s="23"/>
      <c r="N40" s="23"/>
      <c r="O40" s="24"/>
    </row>
    <row r="41" spans="11:15" ht="6.75" customHeight="1" thickBot="1" x14ac:dyDescent="0.35">
      <c r="K41" s="26"/>
      <c r="L41" s="27"/>
      <c r="M41" s="27"/>
      <c r="N41" s="27"/>
      <c r="O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K10:T41"/>
  <sheetViews>
    <sheetView showOutlineSymbols="0" topLeftCell="K11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Q16" sqref="Q16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9" width="10.33203125" style="10" customWidth="1"/>
    <col min="20" max="20" width="1.83203125" style="10" customWidth="1"/>
    <col min="21" max="16384" width="9.33203125" style="10"/>
  </cols>
  <sheetData>
    <row r="10" spans="11:20" ht="10.5" thickBot="1" x14ac:dyDescent="0.35"/>
    <row r="11" spans="11:20" ht="15" x14ac:dyDescent="0.3">
      <c r="K11" s="11" t="s">
        <v>54</v>
      </c>
      <c r="L11" s="12"/>
      <c r="M11" s="12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5" x14ac:dyDescent="0.3">
      <c r="K12" s="14"/>
      <c r="L12" s="15"/>
      <c r="M12" s="16" t="str">
        <f ca="1">kNow</f>
        <v xml:space="preserve">13-Oct-2024 7:14 PM </v>
      </c>
      <c r="N12" s="15"/>
      <c r="O12" s="15"/>
      <c r="P12" s="15"/>
      <c r="Q12" s="15"/>
      <c r="R12" s="15"/>
      <c r="S12" s="15"/>
      <c r="T12" s="17"/>
    </row>
    <row r="13" spans="11:20" ht="13.15" x14ac:dyDescent="0.3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0.5" thickBot="1" x14ac:dyDescent="0.35">
      <c r="K14" s="19" t="s">
        <v>55</v>
      </c>
      <c r="L14" s="20"/>
      <c r="M14" s="20"/>
      <c r="N14" s="20"/>
      <c r="O14" s="20"/>
      <c r="P14" s="20"/>
      <c r="Q14" s="20"/>
      <c r="R14" s="20"/>
      <c r="S14" s="20"/>
      <c r="T14" s="21"/>
    </row>
    <row r="15" spans="11:20" ht="6" customHeight="1" x14ac:dyDescent="0.3">
      <c r="K15" s="22"/>
      <c r="L15" s="23"/>
      <c r="M15" s="23"/>
      <c r="N15" s="23"/>
      <c r="O15" s="23"/>
      <c r="P15" s="23"/>
      <c r="Q15" s="23"/>
      <c r="R15" s="23"/>
      <c r="S15" s="23"/>
      <c r="T15" s="24"/>
    </row>
    <row r="16" spans="11:20" ht="11.25" customHeight="1" x14ac:dyDescent="0.3">
      <c r="K16" s="4" t="s">
        <v>56</v>
      </c>
      <c r="N16" s="23"/>
      <c r="O16" s="23" t="str">
        <f>LEFT(TRIM(K16),FIND(" ",TRIM(K16))-1)</f>
        <v>Bob</v>
      </c>
      <c r="P16" s="23" t="str">
        <f>MID(TRIM(K16),FIND(" ",TRIM(K16))+1,999)</f>
        <v>Sims</v>
      </c>
      <c r="Q16" s="23" t="str" cm="1">
        <f t="array" ref="Q16:R16">_xlfn.TEXTSPLIT(SUBSTITUTE(SUBSTITUTE(K16," de "," de ")," Le "," Le ")," ",,TRUE)</f>
        <v>Bob</v>
      </c>
      <c r="R16" s="23" t="str">
        <v>Sims</v>
      </c>
      <c r="S16" s="23"/>
      <c r="T16" s="24"/>
    </row>
    <row r="17" spans="11:20" ht="11.25" customHeight="1" x14ac:dyDescent="0.3">
      <c r="K17" s="4" t="s">
        <v>57</v>
      </c>
      <c r="L17" s="23"/>
      <c r="M17" s="23"/>
      <c r="N17" s="23"/>
      <c r="O17" s="23" t="str">
        <f t="shared" ref="O17:O40" si="0">LEFT(TRIM(K17),FIND(" ",TRIM(K17))-1)</f>
        <v>James</v>
      </c>
      <c r="P17" s="23" t="str">
        <f t="shared" ref="P17:P40" si="1">MID(TRIM(K17),FIND(" ",TRIM(K17))+1,999)</f>
        <v>Parker</v>
      </c>
      <c r="Q17" s="23" t="str" cm="1">
        <f t="array" ref="Q17:R17">_xlfn.TEXTSPLIT(SUBSTITUTE(SUBSTITUTE(K17," de "," de ")," Le "," Le ")," ",,TRUE)</f>
        <v>James</v>
      </c>
      <c r="R17" s="23" t="str">
        <v>Parker</v>
      </c>
      <c r="S17" s="23"/>
      <c r="T17" s="24"/>
    </row>
    <row r="18" spans="11:20" ht="11.25" customHeight="1" x14ac:dyDescent="0.3">
      <c r="K18" s="4" t="s">
        <v>58</v>
      </c>
      <c r="L18" s="23"/>
      <c r="M18" s="23"/>
      <c r="N18" s="23"/>
      <c r="O18" s="23" t="str">
        <f t="shared" si="0"/>
        <v>Erin</v>
      </c>
      <c r="P18" s="23" t="str">
        <f t="shared" si="1"/>
        <v>Dean</v>
      </c>
      <c r="Q18" s="23" t="str" cm="1">
        <f t="array" ref="Q18:R18">_xlfn.TEXTSPLIT(SUBSTITUTE(SUBSTITUTE(K18," de "," de ")," Le "," Le ")," ",,TRUE)</f>
        <v>Erin</v>
      </c>
      <c r="R18" s="23" t="str">
        <v>Dean</v>
      </c>
      <c r="S18" s="23"/>
      <c r="T18" s="24"/>
    </row>
    <row r="19" spans="11:20" ht="11.25" customHeight="1" x14ac:dyDescent="0.3">
      <c r="K19" s="4" t="s">
        <v>59</v>
      </c>
      <c r="L19" s="23"/>
      <c r="M19" s="23"/>
      <c r="N19" s="23"/>
      <c r="O19" s="23" t="str">
        <f t="shared" si="0"/>
        <v>Summer</v>
      </c>
      <c r="P19" s="23" t="str">
        <f t="shared" si="1"/>
        <v>Lynch</v>
      </c>
      <c r="Q19" s="23" t="str" cm="1">
        <f t="array" ref="Q19:R19">_xlfn.TEXTSPLIT(SUBSTITUTE(SUBSTITUTE(K19," de "," de ")," Le "," Le ")," ",,TRUE)</f>
        <v>Summer</v>
      </c>
      <c r="R19" s="23" t="str">
        <v>Lynch</v>
      </c>
      <c r="S19" s="23"/>
      <c r="T19" s="24"/>
    </row>
    <row r="20" spans="11:20" ht="11.25" customHeight="1" x14ac:dyDescent="0.3">
      <c r="K20" s="4" t="s">
        <v>60</v>
      </c>
      <c r="L20" s="23"/>
      <c r="M20" s="23"/>
      <c r="N20" s="23"/>
      <c r="O20" s="23" t="str">
        <f t="shared" si="0"/>
        <v>Keira</v>
      </c>
      <c r="P20" s="23" t="str">
        <f t="shared" si="1"/>
        <v>Roberts</v>
      </c>
      <c r="Q20" s="23" t="str" cm="1">
        <f t="array" ref="Q20:R20">_xlfn.TEXTSPLIT(SUBSTITUTE(SUBSTITUTE(K20," de "," de ")," Le "," Le ")," ",,TRUE)</f>
        <v>Keira</v>
      </c>
      <c r="R20" s="23" t="str">
        <v>Roberts</v>
      </c>
      <c r="S20" s="23"/>
      <c r="T20" s="24"/>
    </row>
    <row r="21" spans="11:20" ht="11.25" customHeight="1" x14ac:dyDescent="0.3">
      <c r="K21" s="4" t="s">
        <v>61</v>
      </c>
      <c r="L21" s="23"/>
      <c r="M21" s="23"/>
      <c r="N21" s="23"/>
      <c r="O21" s="23" t="str">
        <f t="shared" si="0"/>
        <v>Ethan</v>
      </c>
      <c r="P21" s="23" t="str">
        <f t="shared" si="1"/>
        <v>Miller</v>
      </c>
      <c r="Q21" s="23" t="str" cm="1">
        <f t="array" ref="Q21:R21">_xlfn.TEXTSPLIT(SUBSTITUTE(SUBSTITUTE(K21," de "," de ")," Le "," Le ")," ",,TRUE)</f>
        <v>Ethan</v>
      </c>
      <c r="R21" s="23" t="str">
        <v>Miller</v>
      </c>
      <c r="S21" s="23"/>
      <c r="T21" s="24"/>
    </row>
    <row r="22" spans="11:20" ht="11.25" customHeight="1" x14ac:dyDescent="0.3">
      <c r="K22" s="4" t="s">
        <v>62</v>
      </c>
      <c r="L22" s="23"/>
      <c r="M22" s="23"/>
      <c r="N22" s="23"/>
      <c r="O22" s="23" t="str">
        <f t="shared" si="0"/>
        <v>Harrison</v>
      </c>
      <c r="P22" s="23" t="str">
        <f t="shared" si="1"/>
        <v>Cooper</v>
      </c>
      <c r="Q22" s="23" t="str" cm="1">
        <f t="array" ref="Q22:R22">_xlfn.TEXTSPLIT(SUBSTITUTE(SUBSTITUTE(K22," de "," de ")," Le "," Le ")," ",,TRUE)</f>
        <v>Harrison</v>
      </c>
      <c r="R22" s="23" t="str">
        <v>Cooper</v>
      </c>
      <c r="S22" s="23"/>
      <c r="T22" s="24"/>
    </row>
    <row r="23" spans="11:20" ht="11.25" customHeight="1" x14ac:dyDescent="0.3">
      <c r="K23" s="4" t="s">
        <v>63</v>
      </c>
      <c r="L23" s="23"/>
      <c r="M23" s="23"/>
      <c r="N23" s="23"/>
      <c r="O23" s="23" t="str">
        <f t="shared" si="0"/>
        <v>Gabriel</v>
      </c>
      <c r="P23" s="23" t="str">
        <f t="shared" si="1"/>
        <v>Reynolds</v>
      </c>
      <c r="Q23" s="23" t="str" cm="1">
        <f t="array" ref="Q23:R23">_xlfn.TEXTSPLIT(SUBSTITUTE(SUBSTITUTE(K23," de "," de ")," Le "," Le ")," ",,TRUE)</f>
        <v>Gabriel</v>
      </c>
      <c r="R23" s="23" t="str">
        <v>Reynolds</v>
      </c>
      <c r="S23" s="23"/>
      <c r="T23" s="24"/>
    </row>
    <row r="24" spans="11:20" ht="11.25" customHeight="1" x14ac:dyDescent="0.3">
      <c r="K24" s="4" t="s">
        <v>64</v>
      </c>
      <c r="L24" s="23"/>
      <c r="M24" s="23"/>
      <c r="N24" s="23"/>
      <c r="O24" s="23" t="str">
        <f t="shared" si="0"/>
        <v>Jacob</v>
      </c>
      <c r="P24" s="23" t="str">
        <f t="shared" si="1"/>
        <v>Reyes</v>
      </c>
      <c r="Q24" s="23" t="str" cm="1">
        <f t="array" ref="Q24:R24">_xlfn.TEXTSPLIT(SUBSTITUTE(SUBSTITUTE(K24," de "," de ")," Le "," Le ")," ",,TRUE)</f>
        <v>Jacob</v>
      </c>
      <c r="R24" s="23" t="str">
        <v>Reyes</v>
      </c>
      <c r="S24" s="23"/>
      <c r="T24" s="24"/>
    </row>
    <row r="25" spans="11:20" ht="11.25" customHeight="1" x14ac:dyDescent="0.3">
      <c r="K25" s="4" t="s">
        <v>65</v>
      </c>
      <c r="L25" s="23"/>
      <c r="M25" s="23"/>
      <c r="N25" s="23"/>
      <c r="O25" s="23" t="str">
        <f t="shared" si="0"/>
        <v>Abbie</v>
      </c>
      <c r="P25" s="23" t="str">
        <f t="shared" si="1"/>
        <v>Pierce</v>
      </c>
      <c r="Q25" s="23" t="str" cm="1">
        <f t="array" ref="Q25:R25">_xlfn.TEXTSPLIT(SUBSTITUTE(SUBSTITUTE(K25," de "," de ")," Le "," Le ")," ",,TRUE)</f>
        <v>Abbie</v>
      </c>
      <c r="R25" s="23" t="str">
        <v>Pierce</v>
      </c>
      <c r="S25" s="23"/>
      <c r="T25" s="24"/>
    </row>
    <row r="26" spans="11:20" ht="11.25" customHeight="1" x14ac:dyDescent="0.3">
      <c r="K26" s="4" t="s">
        <v>66</v>
      </c>
      <c r="L26" s="23"/>
      <c r="M26" s="23"/>
      <c r="N26" s="23"/>
      <c r="O26" s="23" t="str">
        <f t="shared" si="0"/>
        <v>Ethan</v>
      </c>
      <c r="P26" s="23" t="str">
        <f t="shared" si="1"/>
        <v>Lane</v>
      </c>
      <c r="Q26" s="23" t="str" cm="1">
        <f t="array" ref="Q26:R26">_xlfn.TEXTSPLIT(SUBSTITUTE(SUBSTITUTE(K26," de "," de ")," Le "," Le ")," ",,TRUE)</f>
        <v>Ethan</v>
      </c>
      <c r="R26" s="23" t="str">
        <v>Lane</v>
      </c>
      <c r="S26" s="23"/>
      <c r="T26" s="24"/>
    </row>
    <row r="27" spans="11:20" ht="11.25" customHeight="1" x14ac:dyDescent="0.3">
      <c r="K27" s="4" t="s">
        <v>67</v>
      </c>
      <c r="L27" s="23"/>
      <c r="M27" s="23"/>
      <c r="N27" s="23"/>
      <c r="O27" s="23" t="str">
        <f t="shared" si="0"/>
        <v>Millie</v>
      </c>
      <c r="P27" s="23" t="str">
        <f t="shared" si="1"/>
        <v>Taylor</v>
      </c>
      <c r="Q27" s="23" t="str" cm="1">
        <f t="array" ref="Q27:R27">_xlfn.TEXTSPLIT(SUBSTITUTE(SUBSTITUTE(K27," de "," de ")," Le "," Le ")," ",,TRUE)</f>
        <v>Millie</v>
      </c>
      <c r="R27" s="23" t="str">
        <v>Taylor</v>
      </c>
      <c r="S27" s="23"/>
      <c r="T27" s="24"/>
    </row>
    <row r="28" spans="11:20" ht="11.25" customHeight="1" x14ac:dyDescent="0.3">
      <c r="K28" s="4" t="s">
        <v>68</v>
      </c>
      <c r="L28" s="23"/>
      <c r="M28" s="23"/>
      <c r="N28" s="23"/>
      <c r="O28" s="23" t="str">
        <f t="shared" si="0"/>
        <v>Marcus</v>
      </c>
      <c r="P28" s="23" t="str">
        <f t="shared" si="1"/>
        <v>Kim</v>
      </c>
      <c r="Q28" s="23" t="str" cm="1">
        <f t="array" ref="Q28:R28">_xlfn.TEXTSPLIT(SUBSTITUTE(SUBSTITUTE(K28," de "," de ")," Le "," Le ")," ",,TRUE)</f>
        <v>Marcus</v>
      </c>
      <c r="R28" s="23" t="str">
        <v>Kim</v>
      </c>
      <c r="S28" s="23"/>
      <c r="T28" s="24"/>
    </row>
    <row r="29" spans="11:20" ht="11.25" customHeight="1" x14ac:dyDescent="0.3">
      <c r="K29" s="4" t="s">
        <v>69</v>
      </c>
      <c r="L29" s="23"/>
      <c r="M29" s="23"/>
      <c r="N29" s="23"/>
      <c r="O29" s="23" t="str">
        <f t="shared" si="0"/>
        <v>Theo</v>
      </c>
      <c r="P29" s="23" t="str">
        <f t="shared" si="1"/>
        <v>Lee</v>
      </c>
      <c r="Q29" s="23" t="str" cm="1">
        <f t="array" ref="Q29:R29">_xlfn.TEXTSPLIT(SUBSTITUTE(SUBSTITUTE(K29," de "," de ")," Le "," Le ")," ",,TRUE)</f>
        <v>Theo</v>
      </c>
      <c r="R29" s="23" t="str">
        <v>Lee</v>
      </c>
      <c r="S29" s="23"/>
      <c r="T29" s="24"/>
    </row>
    <row r="30" spans="11:20" ht="11.25" customHeight="1" x14ac:dyDescent="0.3">
      <c r="K30" s="4" t="s">
        <v>70</v>
      </c>
      <c r="L30" s="23"/>
      <c r="M30" s="23"/>
      <c r="N30" s="23"/>
      <c r="O30" s="23" t="str">
        <f t="shared" si="0"/>
        <v>Ben</v>
      </c>
      <c r="P30" s="23" t="str">
        <f t="shared" si="1"/>
        <v>Mitchell</v>
      </c>
      <c r="Q30" s="23" t="str" cm="1">
        <f t="array" ref="Q30:R30">_xlfn.TEXTSPLIT(SUBSTITUTE(SUBSTITUTE(K30," de "," de ")," Le "," Le ")," ",,TRUE)</f>
        <v>Ben</v>
      </c>
      <c r="R30" s="23" t="str">
        <v>Mitchell</v>
      </c>
      <c r="S30" s="23"/>
      <c r="T30" s="24"/>
    </row>
    <row r="31" spans="11:20" ht="11.25" customHeight="1" x14ac:dyDescent="0.3">
      <c r="K31" s="4" t="s">
        <v>71</v>
      </c>
      <c r="L31" s="23"/>
      <c r="M31" s="23"/>
      <c r="N31" s="23"/>
      <c r="O31" s="23" t="str">
        <f t="shared" si="0"/>
        <v>Andrew</v>
      </c>
      <c r="P31" s="23" t="str">
        <f t="shared" si="1"/>
        <v>Stephens</v>
      </c>
      <c r="Q31" s="23" t="str" cm="1">
        <f t="array" ref="Q31:R31">_xlfn.TEXTSPLIT(SUBSTITUTE(SUBSTITUTE(K31," de "," de ")," Le "," Le ")," ",,TRUE)</f>
        <v>Andrew</v>
      </c>
      <c r="R31" s="23" t="str">
        <v>Stephens</v>
      </c>
      <c r="S31" s="23"/>
      <c r="T31" s="24"/>
    </row>
    <row r="32" spans="11:20" ht="11.25" customHeight="1" x14ac:dyDescent="0.3">
      <c r="K32" s="4" t="s">
        <v>72</v>
      </c>
      <c r="L32" s="23"/>
      <c r="M32" s="23"/>
      <c r="N32" s="23"/>
      <c r="O32" s="23" t="str">
        <f t="shared" si="0"/>
        <v>Lucas</v>
      </c>
      <c r="P32" s="23" t="str">
        <f t="shared" si="1"/>
        <v>Jones</v>
      </c>
      <c r="Q32" s="23" t="str" cm="1">
        <f t="array" ref="Q32:R32">_xlfn.TEXTSPLIT(SUBSTITUTE(SUBSTITUTE(K32," de "," de ")," Le "," Le ")," ",,TRUE)</f>
        <v>Lucas</v>
      </c>
      <c r="R32" s="23" t="str">
        <v>Jones</v>
      </c>
      <c r="S32" s="23"/>
      <c r="T32" s="24"/>
    </row>
    <row r="33" spans="11:20" ht="11.25" customHeight="1" x14ac:dyDescent="0.3">
      <c r="K33" s="4" t="s">
        <v>73</v>
      </c>
      <c r="L33" s="23"/>
      <c r="M33" s="23"/>
      <c r="N33" s="25"/>
      <c r="O33" s="23" t="str">
        <f t="shared" si="0"/>
        <v>Ben</v>
      </c>
      <c r="P33" s="23" t="str">
        <f t="shared" si="1"/>
        <v>Cooper</v>
      </c>
      <c r="Q33" s="23" t="str" cm="1">
        <f t="array" ref="Q33:R33">_xlfn.TEXTSPLIT(SUBSTITUTE(SUBSTITUTE(K33," de "," de ")," Le "," Le ")," ",,TRUE)</f>
        <v>Ben</v>
      </c>
      <c r="R33" s="23" t="str">
        <v>Cooper</v>
      </c>
      <c r="S33" s="25"/>
      <c r="T33" s="24"/>
    </row>
    <row r="34" spans="11:20" ht="11.25" customHeight="1" x14ac:dyDescent="0.3">
      <c r="K34" s="4" t="s">
        <v>74</v>
      </c>
      <c r="L34" s="23"/>
      <c r="M34" s="23"/>
      <c r="N34" s="23"/>
      <c r="O34" s="23" t="str">
        <f t="shared" si="0"/>
        <v>Courtney</v>
      </c>
      <c r="P34" s="23" t="str">
        <f t="shared" si="1"/>
        <v>Wallace</v>
      </c>
      <c r="Q34" s="23" t="str" cm="1">
        <f t="array" ref="Q34:R34">_xlfn.TEXTSPLIT(SUBSTITUTE(SUBSTITUTE(K34," de "," de ")," Le "," Le ")," ",,TRUE)</f>
        <v>Courtney</v>
      </c>
      <c r="R34" s="23" t="str">
        <v>Wallace</v>
      </c>
      <c r="S34" s="23"/>
      <c r="T34" s="24"/>
    </row>
    <row r="35" spans="11:20" ht="11.25" customHeight="1" x14ac:dyDescent="0.3">
      <c r="K35" s="4" t="s">
        <v>75</v>
      </c>
      <c r="L35" s="23"/>
      <c r="M35" s="23"/>
      <c r="N35" s="23"/>
      <c r="O35" s="23" t="str">
        <f t="shared" si="0"/>
        <v>Melissa</v>
      </c>
      <c r="P35" s="23" t="str">
        <f t="shared" si="1"/>
        <v>Flores</v>
      </c>
      <c r="Q35" s="23" t="str" cm="1">
        <f t="array" ref="Q35:R35">_xlfn.TEXTSPLIT(SUBSTITUTE(SUBSTITUTE(K35," de "," de ")," Le "," Le ")," ",,TRUE)</f>
        <v>Melissa</v>
      </c>
      <c r="R35" s="23" t="str">
        <v>Flores</v>
      </c>
      <c r="S35" s="23"/>
      <c r="T35" s="24"/>
    </row>
    <row r="36" spans="11:20" ht="11.25" customHeight="1" x14ac:dyDescent="0.3">
      <c r="K36" s="4" t="s">
        <v>76</v>
      </c>
      <c r="L36" s="23"/>
      <c r="M36" s="23"/>
      <c r="N36" s="23"/>
      <c r="O36" s="23" t="str">
        <f t="shared" si="0"/>
        <v>Nicholas</v>
      </c>
      <c r="P36" s="23" t="str">
        <f t="shared" si="1"/>
        <v>Myers</v>
      </c>
      <c r="Q36" s="23" t="str" cm="1">
        <f t="array" ref="Q36:R36">_xlfn.TEXTSPLIT(SUBSTITUTE(SUBSTITUTE(K36," de "," de ")," Le "," Le ")," ",,TRUE)</f>
        <v>Nicholas</v>
      </c>
      <c r="R36" s="23" t="str">
        <v>Myers</v>
      </c>
      <c r="S36" s="23"/>
      <c r="T36" s="24"/>
    </row>
    <row r="37" spans="11:20" ht="11.25" customHeight="1" x14ac:dyDescent="0.3">
      <c r="K37" s="4" t="s">
        <v>78</v>
      </c>
      <c r="L37" s="23"/>
      <c r="M37" s="23"/>
      <c r="N37" s="23"/>
      <c r="O37" s="23" t="str">
        <f t="shared" si="0"/>
        <v>Zara</v>
      </c>
      <c r="P37" s="23" t="str">
        <f t="shared" si="1"/>
        <v>de Havilland</v>
      </c>
      <c r="Q37" s="23" t="str" cm="1">
        <f t="array" ref="Q37:R37">_xlfn.TEXTSPLIT(SUBSTITUTE(SUBSTITUTE(K37," de "," de ")," Le "," Le ")," ",,TRUE)</f>
        <v>Zara</v>
      </c>
      <c r="R37" s="23" t="str">
        <v>de Havilland</v>
      </c>
      <c r="S37" s="23"/>
      <c r="T37" s="24"/>
    </row>
    <row r="38" spans="11:20" ht="11.25" customHeight="1" x14ac:dyDescent="0.3">
      <c r="K38" s="4" t="s">
        <v>79</v>
      </c>
      <c r="L38" s="23"/>
      <c r="M38" s="23"/>
      <c r="N38" s="23"/>
      <c r="O38" s="23" t="str">
        <f t="shared" si="0"/>
        <v>Isabelle</v>
      </c>
      <c r="P38" s="23" t="str">
        <f t="shared" si="1"/>
        <v>Torres</v>
      </c>
      <c r="Q38" s="23" t="str" cm="1">
        <f t="array" ref="Q38:R38">_xlfn.TEXTSPLIT(SUBSTITUTE(SUBSTITUTE(K38," de "," de ")," Le "," Le ")," ",,TRUE)</f>
        <v>Isabelle</v>
      </c>
      <c r="R38" s="23" t="str">
        <v>Torres</v>
      </c>
      <c r="S38" s="23"/>
      <c r="T38" s="24"/>
    </row>
    <row r="39" spans="11:20" ht="11.25" customHeight="1" x14ac:dyDescent="0.3">
      <c r="K39" s="4" t="s">
        <v>80</v>
      </c>
      <c r="L39" s="23"/>
      <c r="M39" s="23"/>
      <c r="N39" s="23"/>
      <c r="O39" s="23" t="str">
        <f t="shared" si="0"/>
        <v>Henry</v>
      </c>
      <c r="P39" s="23" t="str">
        <f t="shared" si="1"/>
        <v>Le Berr</v>
      </c>
      <c r="Q39" s="23" t="str" cm="1">
        <f t="array" ref="Q39:R39">_xlfn.TEXTSPLIT(SUBSTITUTE(SUBSTITUTE(K39," de "," de ")," Le "," Le ")," ",,TRUE)</f>
        <v>Henry</v>
      </c>
      <c r="R39" s="23" t="str">
        <v>Le Berr</v>
      </c>
      <c r="S39" s="23"/>
      <c r="T39" s="24"/>
    </row>
    <row r="40" spans="11:20" ht="11.25" customHeight="1" x14ac:dyDescent="0.3">
      <c r="K40" s="4" t="s">
        <v>81</v>
      </c>
      <c r="L40" s="23"/>
      <c r="M40" s="23"/>
      <c r="N40" s="23"/>
      <c r="O40" s="23" t="str">
        <f t="shared" si="0"/>
        <v>Jack</v>
      </c>
      <c r="P40" s="23" t="str">
        <f t="shared" si="1"/>
        <v>Jenkins</v>
      </c>
      <c r="Q40" s="23" t="str" cm="1">
        <f t="array" ref="Q40:R40">_xlfn.TEXTSPLIT(SUBSTITUTE(SUBSTITUTE(K40," de "," de ")," Le "," Le ")," ",,TRUE)</f>
        <v>Jack</v>
      </c>
      <c r="R40" s="23" t="str">
        <v>Jenkins</v>
      </c>
      <c r="S40" s="23"/>
      <c r="T40" s="24"/>
    </row>
    <row r="41" spans="11:20" ht="6.75" customHeight="1" thickBot="1" x14ac:dyDescent="0.35">
      <c r="K41" s="26"/>
      <c r="L41" s="27"/>
      <c r="M41" s="27"/>
      <c r="N41" s="27"/>
      <c r="O41" s="27"/>
      <c r="P41" s="27"/>
      <c r="Q41" s="27"/>
      <c r="R41" s="27"/>
      <c r="S41" s="27"/>
      <c r="T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FF85"/>
  </sheetPr>
  <dimension ref="K10:P22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AA55" sqref="AA55"/>
    </sheetView>
  </sheetViews>
  <sheetFormatPr defaultColWidth="9.33203125" defaultRowHeight="10.15" x14ac:dyDescent="0.3"/>
  <cols>
    <col min="1" max="1" width="50.83203125" style="62" customWidth="1"/>
    <col min="2" max="10" width="9.33203125" style="62"/>
    <col min="11" max="11" width="16.6640625" style="62" customWidth="1"/>
    <col min="12" max="12" width="10.83203125" style="62" customWidth="1"/>
    <col min="13" max="13" width="10.33203125" style="62" customWidth="1"/>
    <col min="14" max="14" width="15.4140625" style="62" customWidth="1"/>
    <col min="15" max="15" width="16.83203125" style="62" customWidth="1"/>
    <col min="16" max="16" width="1.83203125" style="62" customWidth="1"/>
    <col min="17" max="16384" width="9.33203125" style="62"/>
  </cols>
  <sheetData>
    <row r="10" spans="11:16" ht="10.5" thickBot="1" x14ac:dyDescent="0.35"/>
    <row r="11" spans="11:16" ht="15" x14ac:dyDescent="0.3">
      <c r="K11" s="70" t="s">
        <v>168</v>
      </c>
      <c r="L11" s="71"/>
      <c r="M11" s="71" t="str">
        <f>kOrgName</f>
        <v>AbleOwl © 2024</v>
      </c>
      <c r="N11" s="71"/>
      <c r="O11" s="71"/>
      <c r="P11" s="72"/>
    </row>
    <row r="12" spans="11:16" ht="15" x14ac:dyDescent="0.3">
      <c r="K12" s="81" t="s">
        <v>169</v>
      </c>
      <c r="L12" s="74"/>
      <c r="M12" s="74" t="str">
        <f ca="1">kNow</f>
        <v xml:space="preserve">13-Oct-2024 7:14 PM </v>
      </c>
      <c r="N12" s="74"/>
      <c r="O12" s="74"/>
      <c r="P12" s="75"/>
    </row>
    <row r="13" spans="11:16" ht="13.15" x14ac:dyDescent="0.3">
      <c r="K13" s="73"/>
      <c r="L13" s="74"/>
      <c r="M13" s="74"/>
      <c r="N13" s="74"/>
      <c r="O13" s="74"/>
      <c r="P13" s="75"/>
    </row>
    <row r="14" spans="11:16" ht="10.5" thickBot="1" x14ac:dyDescent="0.35">
      <c r="K14" s="82" t="s">
        <v>1547</v>
      </c>
      <c r="L14" s="79" t="s">
        <v>1548</v>
      </c>
      <c r="M14" s="79" t="s">
        <v>1549</v>
      </c>
      <c r="N14" s="79" t="s">
        <v>1550</v>
      </c>
      <c r="O14" s="79" t="s">
        <v>1551</v>
      </c>
      <c r="P14" s="77"/>
    </row>
    <row r="15" spans="11:16" ht="6" customHeight="1" x14ac:dyDescent="0.3">
      <c r="K15" s="63"/>
      <c r="L15" s="64"/>
      <c r="M15" s="64"/>
      <c r="N15" s="64"/>
      <c r="O15" s="64"/>
      <c r="P15" s="65"/>
    </row>
    <row r="16" spans="11:16" x14ac:dyDescent="0.3">
      <c r="K16" s="66" t="s">
        <v>170</v>
      </c>
      <c r="L16" s="64"/>
      <c r="M16" s="64"/>
      <c r="N16" s="64"/>
      <c r="O16" s="64"/>
      <c r="P16" s="65"/>
    </row>
    <row r="17" spans="11:16" x14ac:dyDescent="0.3">
      <c r="K17" s="66" t="s">
        <v>171</v>
      </c>
      <c r="L17" s="64"/>
      <c r="M17" s="64"/>
      <c r="N17" s="64"/>
      <c r="O17" s="64"/>
      <c r="P17" s="65"/>
    </row>
    <row r="18" spans="11:16" x14ac:dyDescent="0.3">
      <c r="K18" s="66" t="s">
        <v>172</v>
      </c>
      <c r="L18" s="64"/>
      <c r="M18" s="64"/>
      <c r="N18" s="64"/>
      <c r="O18" s="64"/>
      <c r="P18" s="65"/>
    </row>
    <row r="19" spans="11:16" x14ac:dyDescent="0.3">
      <c r="K19" s="66" t="s">
        <v>173</v>
      </c>
      <c r="L19" s="64"/>
      <c r="M19" s="64"/>
      <c r="N19" s="64"/>
      <c r="O19" s="64"/>
      <c r="P19" s="65"/>
    </row>
    <row r="20" spans="11:16" x14ac:dyDescent="0.3">
      <c r="K20" s="66" t="s">
        <v>174</v>
      </c>
      <c r="L20" s="64"/>
      <c r="M20" s="64"/>
      <c r="N20" s="64"/>
      <c r="O20" s="64"/>
      <c r="P20" s="65"/>
    </row>
    <row r="21" spans="11:16" x14ac:dyDescent="0.3">
      <c r="K21" s="66" t="s">
        <v>175</v>
      </c>
      <c r="L21" s="64"/>
      <c r="M21" s="64"/>
      <c r="N21" s="64"/>
      <c r="O21" s="64"/>
      <c r="P21" s="65"/>
    </row>
    <row r="22" spans="11:16" ht="6" customHeight="1" thickBot="1" x14ac:dyDescent="0.35">
      <c r="K22" s="67"/>
      <c r="L22" s="68"/>
      <c r="M22" s="68"/>
      <c r="N22" s="68"/>
      <c r="O22" s="68"/>
      <c r="P22" s="69"/>
    </row>
  </sheetData>
  <phoneticPr fontId="0" type="noConversion"/>
  <hyperlinks>
    <hyperlink ref="O11" location="aMenu" tooltip="Return to Menu sheet" display="Menu" xr:uid="{00000000-0004-0000-09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9A00"/>
  </sheetPr>
  <dimension ref="A2:S94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K11" sqref="K11"/>
    </sheetView>
  </sheetViews>
  <sheetFormatPr defaultColWidth="9.33203125" defaultRowHeight="10.15" x14ac:dyDescent="0.3"/>
  <cols>
    <col min="1" max="10" width="9.33203125" style="10"/>
    <col min="11" max="11" width="9.83203125" style="10" customWidth="1"/>
    <col min="12" max="12" width="12.6640625" style="10" bestFit="1" customWidth="1"/>
    <col min="13" max="13" width="8.83203125" style="10" customWidth="1"/>
    <col min="14" max="18" width="6.4140625" style="10" customWidth="1"/>
    <col min="19" max="19" width="1.83203125" style="10" customWidth="1"/>
    <col min="20" max="16384" width="9.33203125" style="10"/>
  </cols>
  <sheetData>
    <row r="2" spans="1:19" x14ac:dyDescent="0.3">
      <c r="A2" s="10" t="s">
        <v>176</v>
      </c>
    </row>
    <row r="10" spans="1:19" ht="10.5" thickBot="1" x14ac:dyDescent="0.35"/>
    <row r="11" spans="1:19" ht="15" x14ac:dyDescent="0.3">
      <c r="K11" s="83" t="s">
        <v>177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3"/>
    </row>
    <row r="12" spans="1:19" ht="15" x14ac:dyDescent="0.3">
      <c r="K12" s="84"/>
      <c r="L12" s="15"/>
      <c r="M12" s="16" t="str">
        <f ca="1">kNow</f>
        <v xml:space="preserve">13-Oct-2024 7:14 PM </v>
      </c>
      <c r="N12" s="15"/>
      <c r="O12" s="15"/>
      <c r="P12" s="15"/>
      <c r="Q12" s="15"/>
      <c r="R12" s="15"/>
      <c r="S12" s="17"/>
    </row>
    <row r="13" spans="1:19" x14ac:dyDescent="0.3">
      <c r="B13" s="166" t="s">
        <v>1552</v>
      </c>
      <c r="C13" s="167"/>
      <c r="D13" s="167"/>
      <c r="E13" s="167"/>
      <c r="F13" s="167"/>
      <c r="G13" s="167"/>
      <c r="H13" s="167"/>
      <c r="I13" s="167"/>
      <c r="K13" s="175" t="s">
        <v>178</v>
      </c>
      <c r="L13" s="174"/>
      <c r="M13" s="174"/>
      <c r="N13" s="174" t="s">
        <v>179</v>
      </c>
      <c r="O13" s="174"/>
      <c r="P13" s="174"/>
      <c r="Q13" s="174"/>
      <c r="R13" s="171"/>
      <c r="S13" s="17"/>
    </row>
    <row r="14" spans="1:19" ht="10.5" thickBot="1" x14ac:dyDescent="0.35">
      <c r="K14" s="172" t="s">
        <v>180</v>
      </c>
      <c r="L14" s="173" t="s">
        <v>181</v>
      </c>
      <c r="M14" s="173" t="s">
        <v>182</v>
      </c>
      <c r="N14" s="173" t="s">
        <v>183</v>
      </c>
      <c r="O14" s="173" t="s">
        <v>184</v>
      </c>
      <c r="P14" s="173" t="s">
        <v>185</v>
      </c>
      <c r="Q14" s="173" t="s">
        <v>186</v>
      </c>
      <c r="R14" s="173" t="s">
        <v>187</v>
      </c>
      <c r="S14" s="21"/>
    </row>
    <row r="15" spans="1:19" x14ac:dyDescent="0.3">
      <c r="B15" s="85" t="s">
        <v>188</v>
      </c>
      <c r="C15" s="23" t="s">
        <v>189</v>
      </c>
      <c r="D15" s="23" t="s">
        <v>190</v>
      </c>
      <c r="E15" s="25">
        <v>61</v>
      </c>
      <c r="F15" s="25">
        <v>74</v>
      </c>
      <c r="G15" s="25">
        <v>69</v>
      </c>
      <c r="H15" s="25">
        <v>78</v>
      </c>
      <c r="I15" s="25">
        <v>282</v>
      </c>
      <c r="K15" s="85" t="s">
        <v>188</v>
      </c>
      <c r="L15" s="23" t="s">
        <v>189</v>
      </c>
      <c r="M15" s="23" t="s">
        <v>190</v>
      </c>
      <c r="N15" s="25">
        <v>61</v>
      </c>
      <c r="O15" s="25">
        <v>74</v>
      </c>
      <c r="P15" s="25">
        <v>69</v>
      </c>
      <c r="Q15" s="25">
        <v>78</v>
      </c>
      <c r="R15" s="25">
        <v>282</v>
      </c>
      <c r="S15" s="24"/>
    </row>
    <row r="16" spans="1:19" x14ac:dyDescent="0.3">
      <c r="B16" s="85"/>
      <c r="C16" s="23"/>
      <c r="D16" s="23" t="s">
        <v>191</v>
      </c>
      <c r="E16" s="25">
        <v>2</v>
      </c>
      <c r="F16" s="25">
        <v>1</v>
      </c>
      <c r="G16" s="25"/>
      <c r="H16" s="25"/>
      <c r="I16" s="25">
        <v>3</v>
      </c>
      <c r="K16" s="85"/>
      <c r="L16" s="23"/>
      <c r="M16" s="23" t="s">
        <v>191</v>
      </c>
      <c r="N16" s="25">
        <v>2</v>
      </c>
      <c r="O16" s="25">
        <v>1</v>
      </c>
      <c r="P16" s="25"/>
      <c r="Q16" s="25"/>
      <c r="R16" s="25">
        <v>3</v>
      </c>
      <c r="S16" s="24"/>
    </row>
    <row r="17" spans="2:19" x14ac:dyDescent="0.3">
      <c r="B17" s="85"/>
      <c r="C17" s="23"/>
      <c r="D17" s="23" t="s">
        <v>192</v>
      </c>
      <c r="E17" s="25">
        <v>9</v>
      </c>
      <c r="F17" s="25">
        <v>10</v>
      </c>
      <c r="G17" s="25">
        <v>15</v>
      </c>
      <c r="H17" s="25">
        <v>7</v>
      </c>
      <c r="I17" s="25">
        <v>41</v>
      </c>
      <c r="K17" s="85"/>
      <c r="L17" s="23"/>
      <c r="M17" s="23" t="s">
        <v>192</v>
      </c>
      <c r="N17" s="25">
        <v>9</v>
      </c>
      <c r="O17" s="25">
        <v>10</v>
      </c>
      <c r="P17" s="25">
        <v>15</v>
      </c>
      <c r="Q17" s="25">
        <v>7</v>
      </c>
      <c r="R17" s="25">
        <v>41</v>
      </c>
      <c r="S17" s="24"/>
    </row>
    <row r="18" spans="2:19" x14ac:dyDescent="0.3">
      <c r="B18" s="85"/>
      <c r="C18" s="23"/>
      <c r="D18" s="23" t="s">
        <v>193</v>
      </c>
      <c r="E18" s="25">
        <v>3</v>
      </c>
      <c r="F18" s="25">
        <v>9</v>
      </c>
      <c r="G18" s="25">
        <v>10</v>
      </c>
      <c r="H18" s="25">
        <v>9</v>
      </c>
      <c r="I18" s="25">
        <v>31</v>
      </c>
      <c r="K18" s="85"/>
      <c r="L18" s="23"/>
      <c r="M18" s="23" t="s">
        <v>193</v>
      </c>
      <c r="N18" s="25">
        <v>3</v>
      </c>
      <c r="O18" s="25">
        <v>9</v>
      </c>
      <c r="P18" s="25">
        <v>10</v>
      </c>
      <c r="Q18" s="25">
        <v>9</v>
      </c>
      <c r="R18" s="25">
        <v>31</v>
      </c>
      <c r="S18" s="24"/>
    </row>
    <row r="19" spans="2:19" x14ac:dyDescent="0.3">
      <c r="B19" s="85"/>
      <c r="C19" s="23" t="s">
        <v>194</v>
      </c>
      <c r="D19" s="23" t="s">
        <v>190</v>
      </c>
      <c r="E19" s="25">
        <v>14</v>
      </c>
      <c r="F19" s="25">
        <v>12</v>
      </c>
      <c r="G19" s="25">
        <v>14</v>
      </c>
      <c r="H19" s="25">
        <v>9</v>
      </c>
      <c r="I19" s="25">
        <v>49</v>
      </c>
      <c r="K19" s="85"/>
      <c r="L19" s="23" t="s">
        <v>194</v>
      </c>
      <c r="M19" s="23" t="s">
        <v>190</v>
      </c>
      <c r="N19" s="25">
        <v>14</v>
      </c>
      <c r="O19" s="25">
        <v>12</v>
      </c>
      <c r="P19" s="25">
        <v>14</v>
      </c>
      <c r="Q19" s="25">
        <v>9</v>
      </c>
      <c r="R19" s="25">
        <v>49</v>
      </c>
      <c r="S19" s="24"/>
    </row>
    <row r="20" spans="2:19" x14ac:dyDescent="0.3">
      <c r="B20" s="85"/>
      <c r="C20" s="23"/>
      <c r="D20" s="23" t="s">
        <v>192</v>
      </c>
      <c r="E20" s="25">
        <v>6</v>
      </c>
      <c r="F20" s="25">
        <v>8</v>
      </c>
      <c r="G20" s="25">
        <v>6</v>
      </c>
      <c r="H20" s="25">
        <v>6</v>
      </c>
      <c r="I20" s="25">
        <v>26</v>
      </c>
      <c r="K20" s="85"/>
      <c r="L20" s="23"/>
      <c r="M20" s="23" t="s">
        <v>192</v>
      </c>
      <c r="N20" s="25">
        <v>6</v>
      </c>
      <c r="O20" s="25">
        <v>8</v>
      </c>
      <c r="P20" s="25">
        <v>6</v>
      </c>
      <c r="Q20" s="25">
        <v>6</v>
      </c>
      <c r="R20" s="25">
        <v>26</v>
      </c>
      <c r="S20" s="24"/>
    </row>
    <row r="21" spans="2:19" x14ac:dyDescent="0.3">
      <c r="B21" s="85"/>
      <c r="C21" s="23"/>
      <c r="D21" s="23" t="s">
        <v>193</v>
      </c>
      <c r="E21" s="25">
        <v>3</v>
      </c>
      <c r="F21" s="25"/>
      <c r="G21" s="25">
        <v>1</v>
      </c>
      <c r="H21" s="25"/>
      <c r="I21" s="25">
        <v>4</v>
      </c>
      <c r="K21" s="85"/>
      <c r="L21" s="23"/>
      <c r="M21" s="23" t="s">
        <v>193</v>
      </c>
      <c r="N21" s="25">
        <v>3</v>
      </c>
      <c r="O21" s="25"/>
      <c r="P21" s="25">
        <v>1</v>
      </c>
      <c r="Q21" s="25"/>
      <c r="R21" s="25">
        <v>4</v>
      </c>
      <c r="S21" s="24"/>
    </row>
    <row r="22" spans="2:19" x14ac:dyDescent="0.3">
      <c r="B22" s="85"/>
      <c r="C22" s="23" t="s">
        <v>195</v>
      </c>
      <c r="D22" s="23" t="s">
        <v>190</v>
      </c>
      <c r="E22" s="25">
        <v>21</v>
      </c>
      <c r="F22" s="25">
        <v>30</v>
      </c>
      <c r="G22" s="25">
        <v>24</v>
      </c>
      <c r="H22" s="25">
        <v>30</v>
      </c>
      <c r="I22" s="25">
        <v>105</v>
      </c>
      <c r="K22" s="85"/>
      <c r="L22" s="23" t="s">
        <v>195</v>
      </c>
      <c r="M22" s="23" t="s">
        <v>190</v>
      </c>
      <c r="N22" s="25">
        <v>21</v>
      </c>
      <c r="O22" s="25">
        <v>30</v>
      </c>
      <c r="P22" s="25">
        <v>24</v>
      </c>
      <c r="Q22" s="25">
        <v>30</v>
      </c>
      <c r="R22" s="25">
        <v>105</v>
      </c>
      <c r="S22" s="24"/>
    </row>
    <row r="23" spans="2:19" x14ac:dyDescent="0.3">
      <c r="B23" s="85"/>
      <c r="C23" s="23"/>
      <c r="D23" s="23" t="s">
        <v>192</v>
      </c>
      <c r="E23" s="25">
        <v>2</v>
      </c>
      <c r="F23" s="25">
        <v>1</v>
      </c>
      <c r="G23" s="25">
        <v>2</v>
      </c>
      <c r="H23" s="25">
        <v>3</v>
      </c>
      <c r="I23" s="25">
        <v>8</v>
      </c>
      <c r="K23" s="85"/>
      <c r="L23" s="23"/>
      <c r="M23" s="23" t="s">
        <v>192</v>
      </c>
      <c r="N23" s="25">
        <v>2</v>
      </c>
      <c r="O23" s="25">
        <v>1</v>
      </c>
      <c r="P23" s="25">
        <v>2</v>
      </c>
      <c r="Q23" s="25">
        <v>3</v>
      </c>
      <c r="R23" s="25">
        <v>8</v>
      </c>
      <c r="S23" s="24"/>
    </row>
    <row r="24" spans="2:19" x14ac:dyDescent="0.3">
      <c r="B24" s="85"/>
      <c r="C24" s="23"/>
      <c r="D24" s="23" t="s">
        <v>193</v>
      </c>
      <c r="E24" s="25">
        <v>2</v>
      </c>
      <c r="F24" s="25">
        <v>1</v>
      </c>
      <c r="G24" s="25">
        <v>3</v>
      </c>
      <c r="H24" s="25">
        <v>1</v>
      </c>
      <c r="I24" s="25">
        <v>7</v>
      </c>
      <c r="K24" s="85"/>
      <c r="L24" s="23"/>
      <c r="M24" s="23" t="s">
        <v>193</v>
      </c>
      <c r="N24" s="25">
        <v>2</v>
      </c>
      <c r="O24" s="25">
        <v>1</v>
      </c>
      <c r="P24" s="25">
        <v>3</v>
      </c>
      <c r="Q24" s="25">
        <v>1</v>
      </c>
      <c r="R24" s="25">
        <v>7</v>
      </c>
      <c r="S24" s="24"/>
    </row>
    <row r="25" spans="2:19" x14ac:dyDescent="0.3">
      <c r="B25" s="85"/>
      <c r="C25" s="23" t="s">
        <v>196</v>
      </c>
      <c r="D25" s="23" t="s">
        <v>190</v>
      </c>
      <c r="E25" s="25">
        <v>59</v>
      </c>
      <c r="F25" s="25">
        <v>77</v>
      </c>
      <c r="G25" s="25">
        <v>73</v>
      </c>
      <c r="H25" s="25">
        <v>55</v>
      </c>
      <c r="I25" s="25">
        <v>264</v>
      </c>
      <c r="K25" s="85"/>
      <c r="L25" s="23" t="s">
        <v>196</v>
      </c>
      <c r="M25" s="23" t="s">
        <v>190</v>
      </c>
      <c r="N25" s="25">
        <v>59</v>
      </c>
      <c r="O25" s="25">
        <v>77</v>
      </c>
      <c r="P25" s="25">
        <v>73</v>
      </c>
      <c r="Q25" s="25">
        <v>55</v>
      </c>
      <c r="R25" s="25">
        <v>264</v>
      </c>
      <c r="S25" s="24"/>
    </row>
    <row r="26" spans="2:19" x14ac:dyDescent="0.3">
      <c r="B26" s="85"/>
      <c r="C26" s="23"/>
      <c r="D26" s="23" t="s">
        <v>192</v>
      </c>
      <c r="E26" s="25">
        <v>8</v>
      </c>
      <c r="F26" s="25">
        <v>7</v>
      </c>
      <c r="G26" s="25">
        <v>5</v>
      </c>
      <c r="H26" s="25">
        <v>9</v>
      </c>
      <c r="I26" s="25">
        <v>29</v>
      </c>
      <c r="K26" s="85"/>
      <c r="L26" s="23"/>
      <c r="M26" s="23" t="s">
        <v>192</v>
      </c>
      <c r="N26" s="25">
        <v>8</v>
      </c>
      <c r="O26" s="25">
        <v>7</v>
      </c>
      <c r="P26" s="25">
        <v>5</v>
      </c>
      <c r="Q26" s="25">
        <v>9</v>
      </c>
      <c r="R26" s="25">
        <v>29</v>
      </c>
      <c r="S26" s="24"/>
    </row>
    <row r="27" spans="2:19" x14ac:dyDescent="0.3">
      <c r="B27" s="85"/>
      <c r="C27" s="23"/>
      <c r="D27" s="23" t="s">
        <v>193</v>
      </c>
      <c r="E27" s="25">
        <v>6</v>
      </c>
      <c r="F27" s="25">
        <v>9</v>
      </c>
      <c r="G27" s="25">
        <v>5</v>
      </c>
      <c r="H27" s="25">
        <v>3</v>
      </c>
      <c r="I27" s="25">
        <v>23</v>
      </c>
      <c r="K27" s="85"/>
      <c r="L27" s="23"/>
      <c r="M27" s="23" t="s">
        <v>193</v>
      </c>
      <c r="N27" s="25">
        <v>6</v>
      </c>
      <c r="O27" s="25">
        <v>9</v>
      </c>
      <c r="P27" s="25">
        <v>5</v>
      </c>
      <c r="Q27" s="25">
        <v>3</v>
      </c>
      <c r="R27" s="25">
        <v>23</v>
      </c>
      <c r="S27" s="24"/>
    </row>
    <row r="28" spans="2:19" x14ac:dyDescent="0.3">
      <c r="B28" s="85"/>
      <c r="C28" s="23" t="s">
        <v>197</v>
      </c>
      <c r="D28" s="23" t="s">
        <v>190</v>
      </c>
      <c r="E28" s="25">
        <v>20</v>
      </c>
      <c r="F28" s="25">
        <v>22</v>
      </c>
      <c r="G28" s="25">
        <v>9</v>
      </c>
      <c r="H28" s="25">
        <v>18</v>
      </c>
      <c r="I28" s="25">
        <v>69</v>
      </c>
      <c r="K28" s="85"/>
      <c r="L28" s="23" t="s">
        <v>197</v>
      </c>
      <c r="M28" s="23" t="s">
        <v>190</v>
      </c>
      <c r="N28" s="25">
        <v>20</v>
      </c>
      <c r="O28" s="25">
        <v>22</v>
      </c>
      <c r="P28" s="25">
        <v>9</v>
      </c>
      <c r="Q28" s="25">
        <v>18</v>
      </c>
      <c r="R28" s="25">
        <v>69</v>
      </c>
      <c r="S28" s="24"/>
    </row>
    <row r="29" spans="2:19" x14ac:dyDescent="0.3">
      <c r="B29" s="85"/>
      <c r="C29" s="23"/>
      <c r="D29" s="23" t="s">
        <v>192</v>
      </c>
      <c r="E29" s="25">
        <v>3</v>
      </c>
      <c r="F29" s="25">
        <v>6</v>
      </c>
      <c r="G29" s="25">
        <v>7</v>
      </c>
      <c r="H29" s="25">
        <v>14</v>
      </c>
      <c r="I29" s="25">
        <v>30</v>
      </c>
      <c r="K29" s="85"/>
      <c r="L29" s="23"/>
      <c r="M29" s="23" t="s">
        <v>192</v>
      </c>
      <c r="N29" s="25">
        <v>3</v>
      </c>
      <c r="O29" s="25">
        <v>6</v>
      </c>
      <c r="P29" s="25">
        <v>7</v>
      </c>
      <c r="Q29" s="25">
        <v>14</v>
      </c>
      <c r="R29" s="25">
        <v>30</v>
      </c>
      <c r="S29" s="24"/>
    </row>
    <row r="30" spans="2:19" x14ac:dyDescent="0.3">
      <c r="B30" s="85" t="s">
        <v>198</v>
      </c>
      <c r="C30" s="23" t="s">
        <v>199</v>
      </c>
      <c r="D30" s="23" t="s">
        <v>190</v>
      </c>
      <c r="E30" s="25">
        <v>141</v>
      </c>
      <c r="F30" s="25">
        <v>121</v>
      </c>
      <c r="G30" s="25">
        <v>136</v>
      </c>
      <c r="H30" s="25">
        <v>128</v>
      </c>
      <c r="I30" s="25">
        <v>526</v>
      </c>
      <c r="K30" s="85" t="s">
        <v>198</v>
      </c>
      <c r="L30" s="23" t="s">
        <v>199</v>
      </c>
      <c r="M30" s="23" t="s">
        <v>190</v>
      </c>
      <c r="N30" s="25">
        <v>141</v>
      </c>
      <c r="O30" s="25">
        <v>121</v>
      </c>
      <c r="P30" s="25">
        <v>136</v>
      </c>
      <c r="Q30" s="25">
        <v>128</v>
      </c>
      <c r="R30" s="25">
        <v>526</v>
      </c>
      <c r="S30" s="24"/>
    </row>
    <row r="31" spans="2:19" x14ac:dyDescent="0.3">
      <c r="B31" s="85"/>
      <c r="C31" s="23"/>
      <c r="D31" s="23" t="s">
        <v>192</v>
      </c>
      <c r="E31" s="25">
        <v>33</v>
      </c>
      <c r="F31" s="25">
        <v>31</v>
      </c>
      <c r="G31" s="25">
        <v>33</v>
      </c>
      <c r="H31" s="25">
        <v>38</v>
      </c>
      <c r="I31" s="25">
        <v>135</v>
      </c>
      <c r="K31" s="85"/>
      <c r="L31" s="23"/>
      <c r="M31" s="23" t="s">
        <v>192</v>
      </c>
      <c r="N31" s="25">
        <v>33</v>
      </c>
      <c r="O31" s="25">
        <v>31</v>
      </c>
      <c r="P31" s="25">
        <v>33</v>
      </c>
      <c r="Q31" s="25">
        <v>38</v>
      </c>
      <c r="R31" s="25">
        <v>135</v>
      </c>
      <c r="S31" s="24"/>
    </row>
    <row r="32" spans="2:19" x14ac:dyDescent="0.3">
      <c r="B32" s="85"/>
      <c r="C32" s="23"/>
      <c r="D32" s="23" t="s">
        <v>193</v>
      </c>
      <c r="E32" s="25">
        <v>14</v>
      </c>
      <c r="F32" s="25">
        <v>3</v>
      </c>
      <c r="G32" s="25">
        <v>7</v>
      </c>
      <c r="H32" s="25">
        <v>12</v>
      </c>
      <c r="I32" s="25">
        <v>36</v>
      </c>
      <c r="K32" s="85"/>
      <c r="L32" s="23"/>
      <c r="M32" s="23" t="s">
        <v>193</v>
      </c>
      <c r="N32" s="25">
        <v>14</v>
      </c>
      <c r="O32" s="25">
        <v>3</v>
      </c>
      <c r="P32" s="25">
        <v>7</v>
      </c>
      <c r="Q32" s="25">
        <v>12</v>
      </c>
      <c r="R32" s="25">
        <v>36</v>
      </c>
      <c r="S32" s="24"/>
    </row>
    <row r="33" spans="2:19" x14ac:dyDescent="0.3">
      <c r="B33" s="85"/>
      <c r="C33" s="23" t="s">
        <v>194</v>
      </c>
      <c r="D33" s="23" t="s">
        <v>190</v>
      </c>
      <c r="E33" s="25">
        <v>12</v>
      </c>
      <c r="F33" s="25">
        <v>14</v>
      </c>
      <c r="G33" s="25">
        <v>10</v>
      </c>
      <c r="H33" s="25">
        <v>10</v>
      </c>
      <c r="I33" s="25">
        <v>46</v>
      </c>
      <c r="K33" s="85"/>
      <c r="L33" s="23" t="s">
        <v>194</v>
      </c>
      <c r="M33" s="23" t="s">
        <v>190</v>
      </c>
      <c r="N33" s="25">
        <v>12</v>
      </c>
      <c r="O33" s="25">
        <v>14</v>
      </c>
      <c r="P33" s="25">
        <v>10</v>
      </c>
      <c r="Q33" s="25">
        <v>10</v>
      </c>
      <c r="R33" s="25">
        <v>46</v>
      </c>
      <c r="S33" s="24"/>
    </row>
    <row r="34" spans="2:19" x14ac:dyDescent="0.3">
      <c r="B34" s="85"/>
      <c r="C34" s="23"/>
      <c r="D34" s="23" t="s">
        <v>192</v>
      </c>
      <c r="E34" s="25">
        <v>4</v>
      </c>
      <c r="F34" s="25">
        <v>4</v>
      </c>
      <c r="G34" s="25"/>
      <c r="H34" s="25">
        <v>2</v>
      </c>
      <c r="I34" s="25">
        <v>10</v>
      </c>
      <c r="K34" s="85"/>
      <c r="L34" s="23"/>
      <c r="M34" s="23" t="s">
        <v>192</v>
      </c>
      <c r="N34" s="25">
        <v>4</v>
      </c>
      <c r="O34" s="25">
        <v>4</v>
      </c>
      <c r="P34" s="25"/>
      <c r="Q34" s="25">
        <v>2</v>
      </c>
      <c r="R34" s="25">
        <v>10</v>
      </c>
      <c r="S34" s="24"/>
    </row>
    <row r="35" spans="2:19" x14ac:dyDescent="0.3">
      <c r="B35" s="85"/>
      <c r="C35" s="23"/>
      <c r="D35" s="23" t="s">
        <v>193</v>
      </c>
      <c r="E35" s="25">
        <v>2</v>
      </c>
      <c r="F35" s="25">
        <v>1</v>
      </c>
      <c r="G35" s="25">
        <v>3</v>
      </c>
      <c r="H35" s="25">
        <v>2</v>
      </c>
      <c r="I35" s="25">
        <v>8</v>
      </c>
      <c r="K35" s="85"/>
      <c r="L35" s="23"/>
      <c r="M35" s="23" t="s">
        <v>193</v>
      </c>
      <c r="N35" s="25">
        <v>2</v>
      </c>
      <c r="O35" s="25">
        <v>1</v>
      </c>
      <c r="P35" s="25">
        <v>3</v>
      </c>
      <c r="Q35" s="25">
        <v>2</v>
      </c>
      <c r="R35" s="25">
        <v>8</v>
      </c>
      <c r="S35" s="24"/>
    </row>
    <row r="36" spans="2:19" x14ac:dyDescent="0.3">
      <c r="B36" s="85"/>
      <c r="C36" s="23" t="s">
        <v>197</v>
      </c>
      <c r="D36" s="23" t="s">
        <v>190</v>
      </c>
      <c r="E36" s="25">
        <v>35</v>
      </c>
      <c r="F36" s="25">
        <v>27</v>
      </c>
      <c r="G36" s="25">
        <v>48</v>
      </c>
      <c r="H36" s="25">
        <v>44</v>
      </c>
      <c r="I36" s="25">
        <v>154</v>
      </c>
      <c r="K36" s="85"/>
      <c r="L36" s="23" t="s">
        <v>197</v>
      </c>
      <c r="M36" s="23" t="s">
        <v>190</v>
      </c>
      <c r="N36" s="25">
        <v>35</v>
      </c>
      <c r="O36" s="25">
        <v>27</v>
      </c>
      <c r="P36" s="25">
        <v>48</v>
      </c>
      <c r="Q36" s="25">
        <v>44</v>
      </c>
      <c r="R36" s="25">
        <v>154</v>
      </c>
      <c r="S36" s="24"/>
    </row>
    <row r="37" spans="2:19" x14ac:dyDescent="0.3">
      <c r="B37" s="85"/>
      <c r="C37" s="23"/>
      <c r="D37" s="23" t="s">
        <v>191</v>
      </c>
      <c r="E37" s="25">
        <v>1</v>
      </c>
      <c r="F37" s="25"/>
      <c r="G37" s="25">
        <v>1</v>
      </c>
      <c r="H37" s="25">
        <v>1</v>
      </c>
      <c r="I37" s="25">
        <v>3</v>
      </c>
      <c r="K37" s="85"/>
      <c r="L37" s="23"/>
      <c r="M37" s="23" t="s">
        <v>191</v>
      </c>
      <c r="N37" s="25">
        <v>1</v>
      </c>
      <c r="O37" s="25"/>
      <c r="P37" s="25">
        <v>1</v>
      </c>
      <c r="Q37" s="25">
        <v>1</v>
      </c>
      <c r="R37" s="25">
        <v>3</v>
      </c>
      <c r="S37" s="24"/>
    </row>
    <row r="38" spans="2:19" x14ac:dyDescent="0.3">
      <c r="B38" s="85"/>
      <c r="C38" s="23"/>
      <c r="D38" s="23" t="s">
        <v>192</v>
      </c>
      <c r="E38" s="25">
        <v>14</v>
      </c>
      <c r="F38" s="25">
        <v>10</v>
      </c>
      <c r="G38" s="25">
        <v>11</v>
      </c>
      <c r="H38" s="25">
        <v>15</v>
      </c>
      <c r="I38" s="25">
        <v>50</v>
      </c>
      <c r="K38" s="85"/>
      <c r="L38" s="23"/>
      <c r="M38" s="23" t="s">
        <v>192</v>
      </c>
      <c r="N38" s="25">
        <v>14</v>
      </c>
      <c r="O38" s="25">
        <v>10</v>
      </c>
      <c r="P38" s="25">
        <v>11</v>
      </c>
      <c r="Q38" s="25">
        <v>15</v>
      </c>
      <c r="R38" s="25">
        <v>50</v>
      </c>
      <c r="S38" s="24"/>
    </row>
    <row r="39" spans="2:19" x14ac:dyDescent="0.3">
      <c r="B39" s="85"/>
      <c r="C39" s="23"/>
      <c r="D39" s="23" t="s">
        <v>193</v>
      </c>
      <c r="E39" s="25">
        <v>3</v>
      </c>
      <c r="F39" s="25">
        <v>7</v>
      </c>
      <c r="G39" s="25">
        <v>7</v>
      </c>
      <c r="H39" s="25">
        <v>10</v>
      </c>
      <c r="I39" s="25">
        <v>27</v>
      </c>
      <c r="K39" s="85"/>
      <c r="L39" s="23"/>
      <c r="M39" s="23" t="s">
        <v>193</v>
      </c>
      <c r="N39" s="25">
        <v>3</v>
      </c>
      <c r="O39" s="25">
        <v>7</v>
      </c>
      <c r="P39" s="25">
        <v>7</v>
      </c>
      <c r="Q39" s="25">
        <v>10</v>
      </c>
      <c r="R39" s="25">
        <v>27</v>
      </c>
      <c r="S39" s="24"/>
    </row>
    <row r="40" spans="2:19" x14ac:dyDescent="0.3">
      <c r="B40" s="85"/>
      <c r="C40" s="23" t="s">
        <v>200</v>
      </c>
      <c r="D40" s="23" t="s">
        <v>190</v>
      </c>
      <c r="E40" s="25">
        <v>81</v>
      </c>
      <c r="F40" s="25">
        <v>88</v>
      </c>
      <c r="G40" s="25">
        <v>89</v>
      </c>
      <c r="H40" s="25">
        <v>83</v>
      </c>
      <c r="I40" s="25">
        <v>341</v>
      </c>
      <c r="K40" s="85"/>
      <c r="L40" s="23" t="s">
        <v>200</v>
      </c>
      <c r="M40" s="23" t="s">
        <v>190</v>
      </c>
      <c r="N40" s="25">
        <v>81</v>
      </c>
      <c r="O40" s="25">
        <v>88</v>
      </c>
      <c r="P40" s="25">
        <v>89</v>
      </c>
      <c r="Q40" s="25">
        <v>83</v>
      </c>
      <c r="R40" s="25">
        <v>341</v>
      </c>
      <c r="S40" s="24"/>
    </row>
    <row r="41" spans="2:19" x14ac:dyDescent="0.3">
      <c r="B41" s="85"/>
      <c r="C41" s="23"/>
      <c r="D41" s="23" t="s">
        <v>192</v>
      </c>
      <c r="E41" s="25">
        <v>15</v>
      </c>
      <c r="F41" s="25">
        <v>10</v>
      </c>
      <c r="G41" s="25">
        <v>8</v>
      </c>
      <c r="H41" s="25">
        <v>18</v>
      </c>
      <c r="I41" s="25">
        <v>51</v>
      </c>
      <c r="K41" s="85"/>
      <c r="L41" s="23"/>
      <c r="M41" s="23" t="s">
        <v>192</v>
      </c>
      <c r="N41" s="25">
        <v>15</v>
      </c>
      <c r="O41" s="25">
        <v>10</v>
      </c>
      <c r="P41" s="25">
        <v>8</v>
      </c>
      <c r="Q41" s="25">
        <v>18</v>
      </c>
      <c r="R41" s="25">
        <v>51</v>
      </c>
      <c r="S41" s="24"/>
    </row>
    <row r="42" spans="2:19" x14ac:dyDescent="0.3">
      <c r="B42" s="85"/>
      <c r="C42" s="23"/>
      <c r="D42" s="23" t="s">
        <v>193</v>
      </c>
      <c r="E42" s="25">
        <v>9</v>
      </c>
      <c r="F42" s="25">
        <v>7</v>
      </c>
      <c r="G42" s="25">
        <v>12</v>
      </c>
      <c r="H42" s="25">
        <v>10</v>
      </c>
      <c r="I42" s="25">
        <v>38</v>
      </c>
      <c r="K42" s="85"/>
      <c r="L42" s="23"/>
      <c r="M42" s="23" t="s">
        <v>193</v>
      </c>
      <c r="N42" s="25">
        <v>9</v>
      </c>
      <c r="O42" s="25">
        <v>7</v>
      </c>
      <c r="P42" s="25">
        <v>12</v>
      </c>
      <c r="Q42" s="25">
        <v>10</v>
      </c>
      <c r="R42" s="25">
        <v>38</v>
      </c>
      <c r="S42" s="24"/>
    </row>
    <row r="43" spans="2:19" x14ac:dyDescent="0.3">
      <c r="B43" s="85" t="s">
        <v>201</v>
      </c>
      <c r="C43" s="23" t="s">
        <v>197</v>
      </c>
      <c r="D43" s="23" t="s">
        <v>190</v>
      </c>
      <c r="E43" s="25">
        <v>12</v>
      </c>
      <c r="F43" s="25">
        <v>6</v>
      </c>
      <c r="G43" s="25">
        <v>7</v>
      </c>
      <c r="H43" s="25">
        <v>7</v>
      </c>
      <c r="I43" s="25">
        <v>32</v>
      </c>
      <c r="K43" s="85" t="s">
        <v>201</v>
      </c>
      <c r="L43" s="23" t="s">
        <v>197</v>
      </c>
      <c r="M43" s="23" t="s">
        <v>190</v>
      </c>
      <c r="N43" s="25">
        <v>12</v>
      </c>
      <c r="O43" s="25">
        <v>6</v>
      </c>
      <c r="P43" s="25">
        <v>7</v>
      </c>
      <c r="Q43" s="25">
        <v>7</v>
      </c>
      <c r="R43" s="25">
        <v>32</v>
      </c>
      <c r="S43" s="24"/>
    </row>
    <row r="44" spans="2:19" x14ac:dyDescent="0.3">
      <c r="B44" s="85" t="s">
        <v>202</v>
      </c>
      <c r="C44" s="23" t="s">
        <v>199</v>
      </c>
      <c r="D44" s="23" t="s">
        <v>190</v>
      </c>
      <c r="E44" s="25">
        <v>302</v>
      </c>
      <c r="F44" s="25">
        <v>331</v>
      </c>
      <c r="G44" s="25">
        <v>341</v>
      </c>
      <c r="H44" s="25">
        <v>351</v>
      </c>
      <c r="I44" s="25">
        <v>1325</v>
      </c>
      <c r="K44" s="85" t="s">
        <v>202</v>
      </c>
      <c r="L44" s="23" t="s">
        <v>199</v>
      </c>
      <c r="M44" s="23" t="s">
        <v>190</v>
      </c>
      <c r="N44" s="25">
        <v>302</v>
      </c>
      <c r="O44" s="25">
        <v>331</v>
      </c>
      <c r="P44" s="25">
        <v>341</v>
      </c>
      <c r="Q44" s="25">
        <v>351</v>
      </c>
      <c r="R44" s="25">
        <v>1325</v>
      </c>
      <c r="S44" s="24"/>
    </row>
    <row r="45" spans="2:19" x14ac:dyDescent="0.3">
      <c r="B45" s="85"/>
      <c r="C45" s="23"/>
      <c r="D45" s="23" t="s">
        <v>191</v>
      </c>
      <c r="E45" s="25">
        <v>3</v>
      </c>
      <c r="F45" s="25">
        <v>2</v>
      </c>
      <c r="G45" s="25">
        <v>3</v>
      </c>
      <c r="H45" s="25">
        <v>4</v>
      </c>
      <c r="I45" s="25">
        <v>12</v>
      </c>
      <c r="K45" s="85"/>
      <c r="L45" s="23"/>
      <c r="M45" s="23" t="s">
        <v>191</v>
      </c>
      <c r="N45" s="25">
        <v>3</v>
      </c>
      <c r="O45" s="25">
        <v>2</v>
      </c>
      <c r="P45" s="25">
        <v>3</v>
      </c>
      <c r="Q45" s="25">
        <v>4</v>
      </c>
      <c r="R45" s="25">
        <v>12</v>
      </c>
      <c r="S45" s="24"/>
    </row>
    <row r="46" spans="2:19" x14ac:dyDescent="0.3">
      <c r="B46" s="85"/>
      <c r="C46" s="23"/>
      <c r="D46" s="23" t="s">
        <v>192</v>
      </c>
      <c r="E46" s="25">
        <v>91</v>
      </c>
      <c r="F46" s="25">
        <v>81</v>
      </c>
      <c r="G46" s="25">
        <v>62</v>
      </c>
      <c r="H46" s="25">
        <v>76</v>
      </c>
      <c r="I46" s="25">
        <v>310</v>
      </c>
      <c r="K46" s="85"/>
      <c r="L46" s="23"/>
      <c r="M46" s="23" t="s">
        <v>192</v>
      </c>
      <c r="N46" s="25">
        <v>91</v>
      </c>
      <c r="O46" s="25">
        <v>81</v>
      </c>
      <c r="P46" s="25">
        <v>62</v>
      </c>
      <c r="Q46" s="25">
        <v>76</v>
      </c>
      <c r="R46" s="25">
        <v>310</v>
      </c>
      <c r="S46" s="24"/>
    </row>
    <row r="47" spans="2:19" x14ac:dyDescent="0.3">
      <c r="B47" s="85"/>
      <c r="C47" s="23"/>
      <c r="D47" s="23" t="s">
        <v>193</v>
      </c>
      <c r="E47" s="25">
        <v>42</v>
      </c>
      <c r="F47" s="25">
        <v>31</v>
      </c>
      <c r="G47" s="25">
        <v>43</v>
      </c>
      <c r="H47" s="25">
        <v>47</v>
      </c>
      <c r="I47" s="25">
        <v>163</v>
      </c>
      <c r="K47" s="85"/>
      <c r="L47" s="23"/>
      <c r="M47" s="23" t="s">
        <v>193</v>
      </c>
      <c r="N47" s="25">
        <v>42</v>
      </c>
      <c r="O47" s="25">
        <v>31</v>
      </c>
      <c r="P47" s="25">
        <v>43</v>
      </c>
      <c r="Q47" s="25">
        <v>47</v>
      </c>
      <c r="R47" s="25">
        <v>163</v>
      </c>
      <c r="S47" s="24"/>
    </row>
    <row r="48" spans="2:19" x14ac:dyDescent="0.3">
      <c r="B48" s="85"/>
      <c r="C48" s="23" t="s">
        <v>203</v>
      </c>
      <c r="D48" s="23" t="s">
        <v>190</v>
      </c>
      <c r="E48" s="25">
        <v>30</v>
      </c>
      <c r="F48" s="25">
        <v>23</v>
      </c>
      <c r="G48" s="25">
        <v>22</v>
      </c>
      <c r="H48" s="25">
        <v>20</v>
      </c>
      <c r="I48" s="25">
        <v>95</v>
      </c>
      <c r="K48" s="85"/>
      <c r="L48" s="23" t="s">
        <v>203</v>
      </c>
      <c r="M48" s="23" t="s">
        <v>190</v>
      </c>
      <c r="N48" s="25">
        <v>30</v>
      </c>
      <c r="O48" s="25">
        <v>23</v>
      </c>
      <c r="P48" s="25">
        <v>22</v>
      </c>
      <c r="Q48" s="25">
        <v>20</v>
      </c>
      <c r="R48" s="25">
        <v>95</v>
      </c>
      <c r="S48" s="24"/>
    </row>
    <row r="49" spans="2:19" x14ac:dyDescent="0.3">
      <c r="B49" s="85"/>
      <c r="C49" s="23"/>
      <c r="D49" s="23" t="s">
        <v>192</v>
      </c>
      <c r="E49" s="25">
        <v>13</v>
      </c>
      <c r="F49" s="25">
        <v>14</v>
      </c>
      <c r="G49" s="25">
        <v>11</v>
      </c>
      <c r="H49" s="25">
        <v>8</v>
      </c>
      <c r="I49" s="25">
        <v>46</v>
      </c>
      <c r="K49" s="85"/>
      <c r="L49" s="23"/>
      <c r="M49" s="23" t="s">
        <v>192</v>
      </c>
      <c r="N49" s="25">
        <v>13</v>
      </c>
      <c r="O49" s="25">
        <v>14</v>
      </c>
      <c r="P49" s="25">
        <v>11</v>
      </c>
      <c r="Q49" s="25">
        <v>8</v>
      </c>
      <c r="R49" s="25">
        <v>46</v>
      </c>
      <c r="S49" s="24"/>
    </row>
    <row r="50" spans="2:19" x14ac:dyDescent="0.3">
      <c r="B50" s="85"/>
      <c r="C50" s="23"/>
      <c r="D50" s="23" t="s">
        <v>193</v>
      </c>
      <c r="E50" s="25">
        <v>1</v>
      </c>
      <c r="F50" s="25"/>
      <c r="G50" s="25"/>
      <c r="H50" s="25"/>
      <c r="I50" s="25">
        <v>1</v>
      </c>
      <c r="K50" s="85"/>
      <c r="L50" s="23"/>
      <c r="M50" s="23" t="s">
        <v>193</v>
      </c>
      <c r="N50" s="25">
        <v>1</v>
      </c>
      <c r="O50" s="25"/>
      <c r="P50" s="25"/>
      <c r="Q50" s="25"/>
      <c r="R50" s="25">
        <v>1</v>
      </c>
      <c r="S50" s="24"/>
    </row>
    <row r="51" spans="2:19" x14ac:dyDescent="0.3">
      <c r="B51" s="85"/>
      <c r="C51" s="23" t="s">
        <v>194</v>
      </c>
      <c r="D51" s="23" t="s">
        <v>190</v>
      </c>
      <c r="E51" s="25">
        <v>36</v>
      </c>
      <c r="F51" s="25">
        <v>39</v>
      </c>
      <c r="G51" s="25">
        <v>27</v>
      </c>
      <c r="H51" s="25">
        <v>25</v>
      </c>
      <c r="I51" s="25">
        <v>127</v>
      </c>
      <c r="K51" s="85"/>
      <c r="L51" s="23" t="s">
        <v>194</v>
      </c>
      <c r="M51" s="23" t="s">
        <v>190</v>
      </c>
      <c r="N51" s="25">
        <v>36</v>
      </c>
      <c r="O51" s="25">
        <v>39</v>
      </c>
      <c r="P51" s="25">
        <v>27</v>
      </c>
      <c r="Q51" s="25">
        <v>25</v>
      </c>
      <c r="R51" s="25">
        <v>127</v>
      </c>
      <c r="S51" s="24"/>
    </row>
    <row r="52" spans="2:19" x14ac:dyDescent="0.3">
      <c r="B52" s="85"/>
      <c r="C52" s="23"/>
      <c r="D52" s="23" t="s">
        <v>192</v>
      </c>
      <c r="E52" s="25">
        <v>5</v>
      </c>
      <c r="F52" s="25">
        <v>4</v>
      </c>
      <c r="G52" s="25">
        <v>4</v>
      </c>
      <c r="H52" s="25">
        <v>3</v>
      </c>
      <c r="I52" s="25">
        <v>16</v>
      </c>
      <c r="K52" s="85"/>
      <c r="L52" s="23"/>
      <c r="M52" s="23" t="s">
        <v>192</v>
      </c>
      <c r="N52" s="25">
        <v>5</v>
      </c>
      <c r="O52" s="25">
        <v>4</v>
      </c>
      <c r="P52" s="25">
        <v>4</v>
      </c>
      <c r="Q52" s="25">
        <v>3</v>
      </c>
      <c r="R52" s="25">
        <v>16</v>
      </c>
      <c r="S52" s="24"/>
    </row>
    <row r="53" spans="2:19" x14ac:dyDescent="0.3">
      <c r="B53" s="85"/>
      <c r="C53" s="23"/>
      <c r="D53" s="23" t="s">
        <v>193</v>
      </c>
      <c r="E53" s="25">
        <v>6</v>
      </c>
      <c r="F53" s="25">
        <v>6</v>
      </c>
      <c r="G53" s="25">
        <v>9</v>
      </c>
      <c r="H53" s="25">
        <v>10</v>
      </c>
      <c r="I53" s="25">
        <v>31</v>
      </c>
      <c r="K53" s="85"/>
      <c r="L53" s="23"/>
      <c r="M53" s="23" t="s">
        <v>193</v>
      </c>
      <c r="N53" s="25">
        <v>6</v>
      </c>
      <c r="O53" s="25">
        <v>6</v>
      </c>
      <c r="P53" s="25">
        <v>9</v>
      </c>
      <c r="Q53" s="25">
        <v>10</v>
      </c>
      <c r="R53" s="25">
        <v>31</v>
      </c>
      <c r="S53" s="24"/>
    </row>
    <row r="54" spans="2:19" x14ac:dyDescent="0.3">
      <c r="B54" s="85"/>
      <c r="C54" s="23" t="s">
        <v>204</v>
      </c>
      <c r="D54" s="23" t="s">
        <v>190</v>
      </c>
      <c r="E54" s="25">
        <v>360</v>
      </c>
      <c r="F54" s="25">
        <v>307</v>
      </c>
      <c r="G54" s="25">
        <v>344</v>
      </c>
      <c r="H54" s="25">
        <v>350</v>
      </c>
      <c r="I54" s="25">
        <v>1361</v>
      </c>
      <c r="K54" s="85"/>
      <c r="L54" s="23" t="s">
        <v>204</v>
      </c>
      <c r="M54" s="23" t="s">
        <v>190</v>
      </c>
      <c r="N54" s="25">
        <v>360</v>
      </c>
      <c r="O54" s="25">
        <v>307</v>
      </c>
      <c r="P54" s="25">
        <v>344</v>
      </c>
      <c r="Q54" s="25">
        <v>350</v>
      </c>
      <c r="R54" s="25">
        <v>1361</v>
      </c>
      <c r="S54" s="24"/>
    </row>
    <row r="55" spans="2:19" x14ac:dyDescent="0.3">
      <c r="B55" s="85"/>
      <c r="C55" s="23"/>
      <c r="D55" s="23" t="s">
        <v>191</v>
      </c>
      <c r="E55" s="25">
        <v>2</v>
      </c>
      <c r="F55" s="25">
        <v>3</v>
      </c>
      <c r="G55" s="25"/>
      <c r="H55" s="25">
        <v>2</v>
      </c>
      <c r="I55" s="25">
        <v>7</v>
      </c>
      <c r="K55" s="85"/>
      <c r="L55" s="23"/>
      <c r="M55" s="23" t="s">
        <v>191</v>
      </c>
      <c r="N55" s="25">
        <v>2</v>
      </c>
      <c r="O55" s="25">
        <v>3</v>
      </c>
      <c r="P55" s="25"/>
      <c r="Q55" s="25">
        <v>2</v>
      </c>
      <c r="R55" s="25">
        <v>7</v>
      </c>
      <c r="S55" s="24"/>
    </row>
    <row r="56" spans="2:19" x14ac:dyDescent="0.3">
      <c r="B56" s="85"/>
      <c r="C56" s="23"/>
      <c r="D56" s="23" t="s">
        <v>192</v>
      </c>
      <c r="E56" s="25">
        <v>85</v>
      </c>
      <c r="F56" s="25">
        <v>102</v>
      </c>
      <c r="G56" s="25">
        <v>109</v>
      </c>
      <c r="H56" s="25">
        <v>108</v>
      </c>
      <c r="I56" s="25">
        <v>404</v>
      </c>
      <c r="K56" s="85"/>
      <c r="L56" s="23"/>
      <c r="M56" s="23" t="s">
        <v>192</v>
      </c>
      <c r="N56" s="25">
        <v>85</v>
      </c>
      <c r="O56" s="25">
        <v>102</v>
      </c>
      <c r="P56" s="25">
        <v>109</v>
      </c>
      <c r="Q56" s="25">
        <v>108</v>
      </c>
      <c r="R56" s="25">
        <v>404</v>
      </c>
      <c r="S56" s="24"/>
    </row>
    <row r="57" spans="2:19" x14ac:dyDescent="0.3">
      <c r="B57" s="85"/>
      <c r="C57" s="23"/>
      <c r="D57" s="23" t="s">
        <v>193</v>
      </c>
      <c r="E57" s="25">
        <v>48</v>
      </c>
      <c r="F57" s="25">
        <v>41</v>
      </c>
      <c r="G57" s="25">
        <v>42</v>
      </c>
      <c r="H57" s="25">
        <v>58</v>
      </c>
      <c r="I57" s="25">
        <v>189</v>
      </c>
      <c r="K57" s="85"/>
      <c r="L57" s="23"/>
      <c r="M57" s="23" t="s">
        <v>193</v>
      </c>
      <c r="N57" s="25">
        <v>48</v>
      </c>
      <c r="O57" s="25">
        <v>41</v>
      </c>
      <c r="P57" s="25">
        <v>42</v>
      </c>
      <c r="Q57" s="25">
        <v>58</v>
      </c>
      <c r="R57" s="25">
        <v>189</v>
      </c>
      <c r="S57" s="24"/>
    </row>
    <row r="58" spans="2:19" x14ac:dyDescent="0.3">
      <c r="B58" s="85"/>
      <c r="C58" s="23" t="s">
        <v>197</v>
      </c>
      <c r="D58" s="23" t="s">
        <v>190</v>
      </c>
      <c r="E58" s="25">
        <v>10</v>
      </c>
      <c r="F58" s="25">
        <v>12</v>
      </c>
      <c r="G58" s="25">
        <v>17</v>
      </c>
      <c r="H58" s="25">
        <v>10</v>
      </c>
      <c r="I58" s="25">
        <v>49</v>
      </c>
      <c r="K58" s="85"/>
      <c r="L58" s="23" t="s">
        <v>197</v>
      </c>
      <c r="M58" s="23" t="s">
        <v>190</v>
      </c>
      <c r="N58" s="25">
        <v>10</v>
      </c>
      <c r="O58" s="25">
        <v>12</v>
      </c>
      <c r="P58" s="25">
        <v>17</v>
      </c>
      <c r="Q58" s="25">
        <v>10</v>
      </c>
      <c r="R58" s="25">
        <v>49</v>
      </c>
      <c r="S58" s="24"/>
    </row>
    <row r="59" spans="2:19" x14ac:dyDescent="0.3">
      <c r="B59" s="85"/>
      <c r="C59" s="23"/>
      <c r="D59" s="23" t="s">
        <v>192</v>
      </c>
      <c r="E59" s="25">
        <v>10</v>
      </c>
      <c r="F59" s="25">
        <v>12</v>
      </c>
      <c r="G59" s="25">
        <v>9</v>
      </c>
      <c r="H59" s="25">
        <v>11</v>
      </c>
      <c r="I59" s="25">
        <v>42</v>
      </c>
      <c r="K59" s="85"/>
      <c r="L59" s="23"/>
      <c r="M59" s="23" t="s">
        <v>192</v>
      </c>
      <c r="N59" s="25">
        <v>10</v>
      </c>
      <c r="O59" s="25">
        <v>12</v>
      </c>
      <c r="P59" s="25">
        <v>9</v>
      </c>
      <c r="Q59" s="25">
        <v>11</v>
      </c>
      <c r="R59" s="25">
        <v>42</v>
      </c>
      <c r="S59" s="24"/>
    </row>
    <row r="60" spans="2:19" x14ac:dyDescent="0.3">
      <c r="B60" s="85"/>
      <c r="C60" s="23" t="s">
        <v>200</v>
      </c>
      <c r="D60" s="23" t="s">
        <v>190</v>
      </c>
      <c r="E60" s="25">
        <v>78</v>
      </c>
      <c r="F60" s="25">
        <v>87</v>
      </c>
      <c r="G60" s="25">
        <v>79</v>
      </c>
      <c r="H60" s="25">
        <v>91</v>
      </c>
      <c r="I60" s="25">
        <v>335</v>
      </c>
      <c r="K60" s="85"/>
      <c r="L60" s="23" t="s">
        <v>200</v>
      </c>
      <c r="M60" s="23" t="s">
        <v>190</v>
      </c>
      <c r="N60" s="25">
        <v>78</v>
      </c>
      <c r="O60" s="25">
        <v>87</v>
      </c>
      <c r="P60" s="25">
        <v>79</v>
      </c>
      <c r="Q60" s="25">
        <v>91</v>
      </c>
      <c r="R60" s="25">
        <v>335</v>
      </c>
      <c r="S60" s="24"/>
    </row>
    <row r="61" spans="2:19" x14ac:dyDescent="0.3">
      <c r="B61" s="85"/>
      <c r="C61" s="23"/>
      <c r="D61" s="23" t="s">
        <v>192</v>
      </c>
      <c r="E61" s="25">
        <v>14</v>
      </c>
      <c r="F61" s="25">
        <v>14</v>
      </c>
      <c r="G61" s="25">
        <v>10</v>
      </c>
      <c r="H61" s="25">
        <v>12</v>
      </c>
      <c r="I61" s="25">
        <v>50</v>
      </c>
      <c r="K61" s="85"/>
      <c r="L61" s="23"/>
      <c r="M61" s="23" t="s">
        <v>192</v>
      </c>
      <c r="N61" s="25">
        <v>14</v>
      </c>
      <c r="O61" s="25">
        <v>14</v>
      </c>
      <c r="P61" s="25">
        <v>10</v>
      </c>
      <c r="Q61" s="25">
        <v>12</v>
      </c>
      <c r="R61" s="25">
        <v>50</v>
      </c>
      <c r="S61" s="24"/>
    </row>
    <row r="62" spans="2:19" x14ac:dyDescent="0.3">
      <c r="B62" s="85"/>
      <c r="C62" s="23"/>
      <c r="D62" s="23" t="s">
        <v>193</v>
      </c>
      <c r="E62" s="25">
        <v>7</v>
      </c>
      <c r="F62" s="25">
        <v>9</v>
      </c>
      <c r="G62" s="25">
        <v>10</v>
      </c>
      <c r="H62" s="25">
        <v>8</v>
      </c>
      <c r="I62" s="25">
        <v>34</v>
      </c>
      <c r="K62" s="85"/>
      <c r="L62" s="23"/>
      <c r="M62" s="23" t="s">
        <v>193</v>
      </c>
      <c r="N62" s="25">
        <v>7</v>
      </c>
      <c r="O62" s="25">
        <v>9</v>
      </c>
      <c r="P62" s="25">
        <v>10</v>
      </c>
      <c r="Q62" s="25">
        <v>8</v>
      </c>
      <c r="R62" s="25">
        <v>34</v>
      </c>
      <c r="S62" s="24"/>
    </row>
    <row r="63" spans="2:19" x14ac:dyDescent="0.3">
      <c r="B63" s="85" t="s">
        <v>205</v>
      </c>
      <c r="C63" s="23" t="s">
        <v>189</v>
      </c>
      <c r="D63" s="23" t="s">
        <v>190</v>
      </c>
      <c r="E63" s="25">
        <v>26</v>
      </c>
      <c r="F63" s="25">
        <v>19</v>
      </c>
      <c r="G63" s="25">
        <v>11</v>
      </c>
      <c r="H63" s="25">
        <v>18</v>
      </c>
      <c r="I63" s="25">
        <v>74</v>
      </c>
      <c r="K63" s="85" t="s">
        <v>205</v>
      </c>
      <c r="L63" s="23" t="s">
        <v>189</v>
      </c>
      <c r="M63" s="23" t="s">
        <v>190</v>
      </c>
      <c r="N63" s="25">
        <v>26</v>
      </c>
      <c r="O63" s="25">
        <v>19</v>
      </c>
      <c r="P63" s="25">
        <v>11</v>
      </c>
      <c r="Q63" s="25">
        <v>18</v>
      </c>
      <c r="R63" s="25">
        <v>74</v>
      </c>
      <c r="S63" s="24"/>
    </row>
    <row r="64" spans="2:19" x14ac:dyDescent="0.3">
      <c r="B64" s="85"/>
      <c r="C64" s="23"/>
      <c r="D64" s="23" t="s">
        <v>192</v>
      </c>
      <c r="E64" s="25">
        <v>2</v>
      </c>
      <c r="F64" s="25">
        <v>1</v>
      </c>
      <c r="G64" s="25">
        <v>2</v>
      </c>
      <c r="H64" s="25"/>
      <c r="I64" s="25">
        <v>5</v>
      </c>
      <c r="K64" s="85"/>
      <c r="L64" s="23"/>
      <c r="M64" s="23" t="s">
        <v>192</v>
      </c>
      <c r="N64" s="25">
        <v>2</v>
      </c>
      <c r="O64" s="25">
        <v>1</v>
      </c>
      <c r="P64" s="25">
        <v>2</v>
      </c>
      <c r="Q64" s="25"/>
      <c r="R64" s="25">
        <v>5</v>
      </c>
      <c r="S64" s="24"/>
    </row>
    <row r="65" spans="2:19" x14ac:dyDescent="0.3">
      <c r="B65" s="85"/>
      <c r="C65" s="23" t="s">
        <v>196</v>
      </c>
      <c r="D65" s="23" t="s">
        <v>190</v>
      </c>
      <c r="E65" s="25">
        <v>49</v>
      </c>
      <c r="F65" s="25">
        <v>66</v>
      </c>
      <c r="G65" s="25">
        <v>44</v>
      </c>
      <c r="H65" s="25">
        <v>47</v>
      </c>
      <c r="I65" s="25">
        <v>206</v>
      </c>
      <c r="K65" s="85"/>
      <c r="L65" s="23" t="s">
        <v>196</v>
      </c>
      <c r="M65" s="23" t="s">
        <v>190</v>
      </c>
      <c r="N65" s="25">
        <v>49</v>
      </c>
      <c r="O65" s="25">
        <v>66</v>
      </c>
      <c r="P65" s="25">
        <v>44</v>
      </c>
      <c r="Q65" s="25">
        <v>47</v>
      </c>
      <c r="R65" s="25">
        <v>206</v>
      </c>
      <c r="S65" s="24"/>
    </row>
    <row r="66" spans="2:19" x14ac:dyDescent="0.3">
      <c r="B66" s="85"/>
      <c r="C66" s="23"/>
      <c r="D66" s="23" t="s">
        <v>192</v>
      </c>
      <c r="E66" s="25">
        <v>10</v>
      </c>
      <c r="F66" s="25">
        <v>9</v>
      </c>
      <c r="G66" s="25">
        <v>6</v>
      </c>
      <c r="H66" s="25">
        <v>7</v>
      </c>
      <c r="I66" s="25">
        <v>32</v>
      </c>
      <c r="K66" s="85"/>
      <c r="L66" s="23"/>
      <c r="M66" s="23" t="s">
        <v>192</v>
      </c>
      <c r="N66" s="25">
        <v>10</v>
      </c>
      <c r="O66" s="25">
        <v>9</v>
      </c>
      <c r="P66" s="25">
        <v>6</v>
      </c>
      <c r="Q66" s="25">
        <v>7</v>
      </c>
      <c r="R66" s="25">
        <v>32</v>
      </c>
      <c r="S66" s="24"/>
    </row>
    <row r="67" spans="2:19" x14ac:dyDescent="0.3">
      <c r="B67" s="85"/>
      <c r="C67" s="23"/>
      <c r="D67" s="23" t="s">
        <v>193</v>
      </c>
      <c r="E67" s="25">
        <v>5</v>
      </c>
      <c r="F67" s="25">
        <v>9</v>
      </c>
      <c r="G67" s="25">
        <v>8</v>
      </c>
      <c r="H67" s="25">
        <v>12</v>
      </c>
      <c r="I67" s="25">
        <v>34</v>
      </c>
      <c r="K67" s="85"/>
      <c r="L67" s="23"/>
      <c r="M67" s="23" t="s">
        <v>193</v>
      </c>
      <c r="N67" s="25">
        <v>5</v>
      </c>
      <c r="O67" s="25">
        <v>9</v>
      </c>
      <c r="P67" s="25">
        <v>8</v>
      </c>
      <c r="Q67" s="25">
        <v>12</v>
      </c>
      <c r="R67" s="25">
        <v>34</v>
      </c>
      <c r="S67" s="24"/>
    </row>
    <row r="68" spans="2:19" x14ac:dyDescent="0.3">
      <c r="B68" s="85" t="s">
        <v>206</v>
      </c>
      <c r="C68" s="23" t="s">
        <v>207</v>
      </c>
      <c r="D68" s="23" t="s">
        <v>190</v>
      </c>
      <c r="E68" s="25">
        <v>12</v>
      </c>
      <c r="F68" s="25">
        <v>12</v>
      </c>
      <c r="G68" s="25">
        <v>19</v>
      </c>
      <c r="H68" s="25">
        <v>9</v>
      </c>
      <c r="I68" s="25">
        <v>52</v>
      </c>
      <c r="K68" s="85" t="s">
        <v>206</v>
      </c>
      <c r="L68" s="23" t="s">
        <v>207</v>
      </c>
      <c r="M68" s="23" t="s">
        <v>190</v>
      </c>
      <c r="N68" s="25">
        <v>12</v>
      </c>
      <c r="O68" s="25">
        <v>12</v>
      </c>
      <c r="P68" s="25">
        <v>19</v>
      </c>
      <c r="Q68" s="25">
        <v>9</v>
      </c>
      <c r="R68" s="25">
        <v>52</v>
      </c>
      <c r="S68" s="24"/>
    </row>
    <row r="69" spans="2:19" x14ac:dyDescent="0.3">
      <c r="B69" s="85"/>
      <c r="C69" s="23"/>
      <c r="D69" s="23" t="s">
        <v>193</v>
      </c>
      <c r="E69" s="25">
        <v>10</v>
      </c>
      <c r="F69" s="25">
        <v>10</v>
      </c>
      <c r="G69" s="25">
        <v>6</v>
      </c>
      <c r="H69" s="25">
        <v>12</v>
      </c>
      <c r="I69" s="25">
        <v>38</v>
      </c>
      <c r="K69" s="85"/>
      <c r="L69" s="23"/>
      <c r="M69" s="23" t="s">
        <v>193</v>
      </c>
      <c r="N69" s="25">
        <v>10</v>
      </c>
      <c r="O69" s="25">
        <v>10</v>
      </c>
      <c r="P69" s="25">
        <v>6</v>
      </c>
      <c r="Q69" s="25">
        <v>12</v>
      </c>
      <c r="R69" s="25">
        <v>38</v>
      </c>
      <c r="S69" s="24"/>
    </row>
    <row r="70" spans="2:19" x14ac:dyDescent="0.3">
      <c r="B70" s="85"/>
      <c r="C70" s="23" t="s">
        <v>189</v>
      </c>
      <c r="D70" s="23" t="s">
        <v>190</v>
      </c>
      <c r="E70" s="25">
        <v>72</v>
      </c>
      <c r="F70" s="25">
        <v>69</v>
      </c>
      <c r="G70" s="25">
        <v>75</v>
      </c>
      <c r="H70" s="25">
        <v>78</v>
      </c>
      <c r="I70" s="25">
        <v>294</v>
      </c>
      <c r="K70" s="85"/>
      <c r="L70" s="23" t="s">
        <v>189</v>
      </c>
      <c r="M70" s="23" t="s">
        <v>190</v>
      </c>
      <c r="N70" s="25">
        <v>72</v>
      </c>
      <c r="O70" s="25">
        <v>69</v>
      </c>
      <c r="P70" s="25">
        <v>75</v>
      </c>
      <c r="Q70" s="25">
        <v>78</v>
      </c>
      <c r="R70" s="25">
        <v>294</v>
      </c>
      <c r="S70" s="24"/>
    </row>
    <row r="71" spans="2:19" x14ac:dyDescent="0.3">
      <c r="B71" s="85"/>
      <c r="C71" s="23"/>
      <c r="D71" s="23" t="s">
        <v>191</v>
      </c>
      <c r="E71" s="23"/>
      <c r="F71" s="23"/>
      <c r="G71" s="23">
        <v>1</v>
      </c>
      <c r="H71" s="23"/>
      <c r="I71" s="23">
        <v>1</v>
      </c>
      <c r="K71" s="85"/>
      <c r="L71" s="23"/>
      <c r="M71" s="23" t="s">
        <v>191</v>
      </c>
      <c r="N71" s="23"/>
      <c r="O71" s="23"/>
      <c r="P71" s="23">
        <v>1</v>
      </c>
      <c r="Q71" s="23"/>
      <c r="R71" s="23">
        <v>1</v>
      </c>
      <c r="S71" s="24"/>
    </row>
    <row r="72" spans="2:19" x14ac:dyDescent="0.3">
      <c r="B72" s="85"/>
      <c r="C72" s="23"/>
      <c r="D72" s="23" t="s">
        <v>192</v>
      </c>
      <c r="E72" s="23">
        <v>9</v>
      </c>
      <c r="F72" s="23">
        <v>5</v>
      </c>
      <c r="G72" s="23">
        <v>9</v>
      </c>
      <c r="H72" s="23">
        <v>5</v>
      </c>
      <c r="I72" s="23">
        <v>28</v>
      </c>
      <c r="K72" s="85"/>
      <c r="L72" s="23"/>
      <c r="M72" s="23" t="s">
        <v>192</v>
      </c>
      <c r="N72" s="23">
        <v>9</v>
      </c>
      <c r="O72" s="23">
        <v>5</v>
      </c>
      <c r="P72" s="23">
        <v>9</v>
      </c>
      <c r="Q72" s="23">
        <v>5</v>
      </c>
      <c r="R72" s="23">
        <v>28</v>
      </c>
      <c r="S72" s="24"/>
    </row>
    <row r="73" spans="2:19" x14ac:dyDescent="0.3">
      <c r="B73" s="85"/>
      <c r="C73" s="23"/>
      <c r="D73" s="23" t="s">
        <v>193</v>
      </c>
      <c r="E73" s="23">
        <v>10</v>
      </c>
      <c r="F73" s="23">
        <v>2</v>
      </c>
      <c r="G73" s="23">
        <v>8</v>
      </c>
      <c r="H73" s="23">
        <v>12</v>
      </c>
      <c r="I73" s="23">
        <v>32</v>
      </c>
      <c r="K73" s="85"/>
      <c r="L73" s="23"/>
      <c r="M73" s="23" t="s">
        <v>193</v>
      </c>
      <c r="N73" s="23">
        <v>10</v>
      </c>
      <c r="O73" s="23">
        <v>2</v>
      </c>
      <c r="P73" s="23">
        <v>8</v>
      </c>
      <c r="Q73" s="23">
        <v>12</v>
      </c>
      <c r="R73" s="23">
        <v>32</v>
      </c>
      <c r="S73" s="24"/>
    </row>
    <row r="74" spans="2:19" x14ac:dyDescent="0.3">
      <c r="B74" s="85"/>
      <c r="C74" s="23" t="s">
        <v>197</v>
      </c>
      <c r="D74" s="23" t="s">
        <v>190</v>
      </c>
      <c r="E74" s="23">
        <v>17</v>
      </c>
      <c r="F74" s="23">
        <v>14</v>
      </c>
      <c r="G74" s="23">
        <v>14</v>
      </c>
      <c r="H74" s="23">
        <v>25</v>
      </c>
      <c r="I74" s="23">
        <v>70</v>
      </c>
      <c r="K74" s="85"/>
      <c r="L74" s="23" t="s">
        <v>197</v>
      </c>
      <c r="M74" s="23" t="s">
        <v>190</v>
      </c>
      <c r="N74" s="23">
        <v>17</v>
      </c>
      <c r="O74" s="23">
        <v>14</v>
      </c>
      <c r="P74" s="23">
        <v>14</v>
      </c>
      <c r="Q74" s="23">
        <v>25</v>
      </c>
      <c r="R74" s="23">
        <v>70</v>
      </c>
      <c r="S74" s="24"/>
    </row>
    <row r="75" spans="2:19" x14ac:dyDescent="0.3">
      <c r="B75" s="85"/>
      <c r="C75" s="23"/>
      <c r="D75" s="23" t="s">
        <v>192</v>
      </c>
      <c r="E75" s="23">
        <v>2</v>
      </c>
      <c r="F75" s="23">
        <v>2</v>
      </c>
      <c r="G75" s="23">
        <v>2</v>
      </c>
      <c r="H75" s="23">
        <v>1</v>
      </c>
      <c r="I75" s="23">
        <v>7</v>
      </c>
      <c r="K75" s="85"/>
      <c r="L75" s="23"/>
      <c r="M75" s="23" t="s">
        <v>192</v>
      </c>
      <c r="N75" s="23">
        <v>2</v>
      </c>
      <c r="O75" s="23">
        <v>2</v>
      </c>
      <c r="P75" s="23">
        <v>2</v>
      </c>
      <c r="Q75" s="23">
        <v>1</v>
      </c>
      <c r="R75" s="23">
        <v>7</v>
      </c>
      <c r="S75" s="24"/>
    </row>
    <row r="76" spans="2:19" x14ac:dyDescent="0.3">
      <c r="B76" s="85" t="s">
        <v>208</v>
      </c>
      <c r="C76" s="23" t="s">
        <v>194</v>
      </c>
      <c r="D76" s="23" t="s">
        <v>190</v>
      </c>
      <c r="E76" s="23">
        <v>17</v>
      </c>
      <c r="F76" s="23">
        <v>17</v>
      </c>
      <c r="G76" s="23">
        <v>21</v>
      </c>
      <c r="H76" s="23">
        <v>7</v>
      </c>
      <c r="I76" s="23">
        <v>62</v>
      </c>
      <c r="K76" s="85" t="s">
        <v>208</v>
      </c>
      <c r="L76" s="23" t="s">
        <v>194</v>
      </c>
      <c r="M76" s="23" t="s">
        <v>190</v>
      </c>
      <c r="N76" s="23">
        <v>17</v>
      </c>
      <c r="O76" s="23">
        <v>17</v>
      </c>
      <c r="P76" s="23">
        <v>21</v>
      </c>
      <c r="Q76" s="23">
        <v>7</v>
      </c>
      <c r="R76" s="23">
        <v>62</v>
      </c>
      <c r="S76" s="24"/>
    </row>
    <row r="77" spans="2:19" x14ac:dyDescent="0.3">
      <c r="B77" s="85"/>
      <c r="C77" s="23"/>
      <c r="D77" s="23" t="s">
        <v>192</v>
      </c>
      <c r="E77" s="23">
        <v>2</v>
      </c>
      <c r="F77" s="23">
        <v>1</v>
      </c>
      <c r="G77" s="23">
        <v>3</v>
      </c>
      <c r="H77" s="23">
        <v>5</v>
      </c>
      <c r="I77" s="23">
        <v>11</v>
      </c>
      <c r="K77" s="85"/>
      <c r="L77" s="23"/>
      <c r="M77" s="23" t="s">
        <v>192</v>
      </c>
      <c r="N77" s="23">
        <v>2</v>
      </c>
      <c r="O77" s="23">
        <v>1</v>
      </c>
      <c r="P77" s="23">
        <v>3</v>
      </c>
      <c r="Q77" s="23">
        <v>5</v>
      </c>
      <c r="R77" s="23">
        <v>11</v>
      </c>
      <c r="S77" s="24"/>
    </row>
    <row r="78" spans="2:19" x14ac:dyDescent="0.3">
      <c r="B78" s="85"/>
      <c r="C78" s="23"/>
      <c r="D78" s="23" t="s">
        <v>193</v>
      </c>
      <c r="E78" s="23">
        <v>1</v>
      </c>
      <c r="F78" s="23"/>
      <c r="G78" s="23"/>
      <c r="H78" s="23"/>
      <c r="I78" s="23">
        <v>1</v>
      </c>
      <c r="K78" s="85"/>
      <c r="L78" s="23"/>
      <c r="M78" s="23" t="s">
        <v>193</v>
      </c>
      <c r="N78" s="23">
        <v>1</v>
      </c>
      <c r="O78" s="23"/>
      <c r="P78" s="23"/>
      <c r="Q78" s="23"/>
      <c r="R78" s="23">
        <v>1</v>
      </c>
      <c r="S78" s="24"/>
    </row>
    <row r="79" spans="2:19" x14ac:dyDescent="0.3">
      <c r="B79" s="85"/>
      <c r="C79" s="23" t="s">
        <v>195</v>
      </c>
      <c r="D79" s="23" t="s">
        <v>190</v>
      </c>
      <c r="E79" s="23">
        <v>24</v>
      </c>
      <c r="F79" s="23">
        <v>14</v>
      </c>
      <c r="G79" s="23">
        <v>17</v>
      </c>
      <c r="H79" s="23">
        <v>31</v>
      </c>
      <c r="I79" s="23">
        <v>86</v>
      </c>
      <c r="K79" s="85"/>
      <c r="L79" s="23" t="s">
        <v>195</v>
      </c>
      <c r="M79" s="23" t="s">
        <v>190</v>
      </c>
      <c r="N79" s="23">
        <v>24</v>
      </c>
      <c r="O79" s="23">
        <v>14</v>
      </c>
      <c r="P79" s="23">
        <v>17</v>
      </c>
      <c r="Q79" s="23">
        <v>31</v>
      </c>
      <c r="R79" s="23">
        <v>86</v>
      </c>
      <c r="S79" s="24"/>
    </row>
    <row r="80" spans="2:19" x14ac:dyDescent="0.3">
      <c r="B80" s="85"/>
      <c r="C80" s="23"/>
      <c r="D80" s="23" t="s">
        <v>192</v>
      </c>
      <c r="E80" s="23">
        <v>4</v>
      </c>
      <c r="F80" s="23">
        <v>1</v>
      </c>
      <c r="G80" s="23">
        <v>6</v>
      </c>
      <c r="H80" s="23">
        <v>2</v>
      </c>
      <c r="I80" s="23">
        <v>13</v>
      </c>
      <c r="K80" s="85"/>
      <c r="L80" s="23"/>
      <c r="M80" s="23" t="s">
        <v>192</v>
      </c>
      <c r="N80" s="23">
        <v>4</v>
      </c>
      <c r="O80" s="23">
        <v>1</v>
      </c>
      <c r="P80" s="23">
        <v>6</v>
      </c>
      <c r="Q80" s="23">
        <v>2</v>
      </c>
      <c r="R80" s="23">
        <v>13</v>
      </c>
      <c r="S80" s="24"/>
    </row>
    <row r="81" spans="2:19" x14ac:dyDescent="0.3">
      <c r="B81" s="85"/>
      <c r="C81" s="23"/>
      <c r="D81" s="23" t="s">
        <v>193</v>
      </c>
      <c r="E81" s="23">
        <v>7</v>
      </c>
      <c r="F81" s="23">
        <v>2</v>
      </c>
      <c r="G81" s="23">
        <v>5</v>
      </c>
      <c r="H81" s="23">
        <v>6</v>
      </c>
      <c r="I81" s="23">
        <v>20</v>
      </c>
      <c r="K81" s="85"/>
      <c r="L81" s="23"/>
      <c r="M81" s="23" t="s">
        <v>193</v>
      </c>
      <c r="N81" s="23">
        <v>7</v>
      </c>
      <c r="O81" s="23">
        <v>2</v>
      </c>
      <c r="P81" s="23">
        <v>5</v>
      </c>
      <c r="Q81" s="23">
        <v>6</v>
      </c>
      <c r="R81" s="23">
        <v>20</v>
      </c>
      <c r="S81" s="24"/>
    </row>
    <row r="82" spans="2:19" x14ac:dyDescent="0.3">
      <c r="B82" s="85"/>
      <c r="C82" s="23" t="s">
        <v>197</v>
      </c>
      <c r="D82" s="23" t="s">
        <v>190</v>
      </c>
      <c r="E82" s="23">
        <v>24</v>
      </c>
      <c r="F82" s="23">
        <v>25</v>
      </c>
      <c r="G82" s="23">
        <v>20</v>
      </c>
      <c r="H82" s="23">
        <v>20</v>
      </c>
      <c r="I82" s="23">
        <v>89</v>
      </c>
      <c r="K82" s="85"/>
      <c r="L82" s="23" t="s">
        <v>197</v>
      </c>
      <c r="M82" s="23" t="s">
        <v>190</v>
      </c>
      <c r="N82" s="23">
        <v>24</v>
      </c>
      <c r="O82" s="23">
        <v>25</v>
      </c>
      <c r="P82" s="23">
        <v>20</v>
      </c>
      <c r="Q82" s="23">
        <v>20</v>
      </c>
      <c r="R82" s="23">
        <v>89</v>
      </c>
      <c r="S82" s="24"/>
    </row>
    <row r="83" spans="2:19" x14ac:dyDescent="0.3">
      <c r="B83" s="85"/>
      <c r="C83" s="23"/>
      <c r="D83" s="23" t="s">
        <v>191</v>
      </c>
      <c r="E83" s="23">
        <v>1</v>
      </c>
      <c r="F83" s="23">
        <v>1</v>
      </c>
      <c r="G83" s="23"/>
      <c r="H83" s="23">
        <v>1</v>
      </c>
      <c r="I83" s="23">
        <v>3</v>
      </c>
      <c r="K83" s="85"/>
      <c r="L83" s="23"/>
      <c r="M83" s="23" t="s">
        <v>191</v>
      </c>
      <c r="N83" s="23">
        <v>1</v>
      </c>
      <c r="O83" s="23">
        <v>1</v>
      </c>
      <c r="P83" s="23"/>
      <c r="Q83" s="23">
        <v>1</v>
      </c>
      <c r="R83" s="23">
        <v>3</v>
      </c>
      <c r="S83" s="24"/>
    </row>
    <row r="84" spans="2:19" x14ac:dyDescent="0.3">
      <c r="B84" s="85"/>
      <c r="C84" s="23"/>
      <c r="D84" s="23" t="s">
        <v>192</v>
      </c>
      <c r="E84" s="23">
        <v>11</v>
      </c>
      <c r="F84" s="23">
        <v>11</v>
      </c>
      <c r="G84" s="23">
        <v>6</v>
      </c>
      <c r="H84" s="23">
        <v>9</v>
      </c>
      <c r="I84" s="23">
        <v>37</v>
      </c>
      <c r="K84" s="85"/>
      <c r="L84" s="23"/>
      <c r="M84" s="23" t="s">
        <v>192</v>
      </c>
      <c r="N84" s="23">
        <v>11</v>
      </c>
      <c r="O84" s="23">
        <v>11</v>
      </c>
      <c r="P84" s="23">
        <v>6</v>
      </c>
      <c r="Q84" s="23">
        <v>9</v>
      </c>
      <c r="R84" s="23">
        <v>37</v>
      </c>
      <c r="S84" s="24"/>
    </row>
    <row r="85" spans="2:19" x14ac:dyDescent="0.3">
      <c r="B85" s="85"/>
      <c r="C85" s="23"/>
      <c r="D85" s="23" t="s">
        <v>193</v>
      </c>
      <c r="E85" s="23">
        <v>7</v>
      </c>
      <c r="F85" s="23">
        <v>7</v>
      </c>
      <c r="G85" s="23">
        <v>5</v>
      </c>
      <c r="H85" s="23">
        <v>5</v>
      </c>
      <c r="I85" s="23">
        <v>24</v>
      </c>
      <c r="K85" s="85"/>
      <c r="L85" s="23"/>
      <c r="M85" s="23" t="s">
        <v>193</v>
      </c>
      <c r="N85" s="23">
        <v>7</v>
      </c>
      <c r="O85" s="23">
        <v>7</v>
      </c>
      <c r="P85" s="23">
        <v>5</v>
      </c>
      <c r="Q85" s="23">
        <v>5</v>
      </c>
      <c r="R85" s="23">
        <v>24</v>
      </c>
      <c r="S85" s="24"/>
    </row>
    <row r="86" spans="2:19" x14ac:dyDescent="0.3">
      <c r="B86" s="85" t="s">
        <v>209</v>
      </c>
      <c r="C86" s="23" t="s">
        <v>207</v>
      </c>
      <c r="D86" s="23" t="s">
        <v>190</v>
      </c>
      <c r="E86" s="23">
        <v>38</v>
      </c>
      <c r="F86" s="23">
        <v>39</v>
      </c>
      <c r="G86" s="23">
        <v>36</v>
      </c>
      <c r="H86" s="23">
        <v>44</v>
      </c>
      <c r="I86" s="23">
        <v>157</v>
      </c>
      <c r="K86" s="85" t="s">
        <v>209</v>
      </c>
      <c r="L86" s="23" t="s">
        <v>207</v>
      </c>
      <c r="M86" s="23" t="s">
        <v>190</v>
      </c>
      <c r="N86" s="23">
        <v>38</v>
      </c>
      <c r="O86" s="23">
        <v>39</v>
      </c>
      <c r="P86" s="23">
        <v>36</v>
      </c>
      <c r="Q86" s="23">
        <v>44</v>
      </c>
      <c r="R86" s="23">
        <v>157</v>
      </c>
      <c r="S86" s="24"/>
    </row>
    <row r="87" spans="2:19" x14ac:dyDescent="0.3">
      <c r="B87" s="85"/>
      <c r="C87" s="23"/>
      <c r="D87" s="23" t="s">
        <v>191</v>
      </c>
      <c r="E87" s="23"/>
      <c r="F87" s="23"/>
      <c r="G87" s="23"/>
      <c r="H87" s="23">
        <v>1</v>
      </c>
      <c r="I87" s="23">
        <v>1</v>
      </c>
      <c r="K87" s="85"/>
      <c r="L87" s="23"/>
      <c r="M87" s="23" t="s">
        <v>191</v>
      </c>
      <c r="N87" s="23"/>
      <c r="O87" s="23"/>
      <c r="P87" s="23"/>
      <c r="Q87" s="23">
        <v>1</v>
      </c>
      <c r="R87" s="23">
        <v>1</v>
      </c>
      <c r="S87" s="24"/>
    </row>
    <row r="88" spans="2:19" x14ac:dyDescent="0.3">
      <c r="B88" s="85"/>
      <c r="C88" s="23"/>
      <c r="D88" s="23" t="s">
        <v>192</v>
      </c>
      <c r="E88" s="23">
        <v>5</v>
      </c>
      <c r="F88" s="23">
        <v>4</v>
      </c>
      <c r="G88" s="23">
        <v>8</v>
      </c>
      <c r="H88" s="23">
        <v>3</v>
      </c>
      <c r="I88" s="23">
        <v>20</v>
      </c>
      <c r="K88" s="85"/>
      <c r="L88" s="23"/>
      <c r="M88" s="23" t="s">
        <v>192</v>
      </c>
      <c r="N88" s="23">
        <v>5</v>
      </c>
      <c r="O88" s="23">
        <v>4</v>
      </c>
      <c r="P88" s="23">
        <v>8</v>
      </c>
      <c r="Q88" s="23">
        <v>3</v>
      </c>
      <c r="R88" s="23">
        <v>20</v>
      </c>
      <c r="S88" s="24"/>
    </row>
    <row r="89" spans="2:19" x14ac:dyDescent="0.3">
      <c r="B89" s="85"/>
      <c r="C89" s="23"/>
      <c r="D89" s="23" t="s">
        <v>193</v>
      </c>
      <c r="E89" s="23">
        <v>3</v>
      </c>
      <c r="F89" s="23">
        <v>9</v>
      </c>
      <c r="G89" s="23">
        <v>11</v>
      </c>
      <c r="H89" s="23">
        <v>11</v>
      </c>
      <c r="I89" s="23">
        <v>34</v>
      </c>
      <c r="K89" s="85"/>
      <c r="L89" s="23"/>
      <c r="M89" s="23" t="s">
        <v>193</v>
      </c>
      <c r="N89" s="23">
        <v>3</v>
      </c>
      <c r="O89" s="23">
        <v>9</v>
      </c>
      <c r="P89" s="23">
        <v>11</v>
      </c>
      <c r="Q89" s="23">
        <v>11</v>
      </c>
      <c r="R89" s="23">
        <v>34</v>
      </c>
      <c r="S89" s="24"/>
    </row>
    <row r="90" spans="2:19" x14ac:dyDescent="0.3">
      <c r="B90" s="85"/>
      <c r="C90" s="23" t="s">
        <v>197</v>
      </c>
      <c r="D90" s="23" t="s">
        <v>190</v>
      </c>
      <c r="E90" s="23">
        <v>21</v>
      </c>
      <c r="F90" s="23">
        <v>23</v>
      </c>
      <c r="G90" s="23">
        <v>14</v>
      </c>
      <c r="H90" s="23">
        <v>11</v>
      </c>
      <c r="I90" s="23">
        <v>69</v>
      </c>
      <c r="K90" s="85"/>
      <c r="L90" s="23" t="s">
        <v>197</v>
      </c>
      <c r="M90" s="23" t="s">
        <v>190</v>
      </c>
      <c r="N90" s="23">
        <v>21</v>
      </c>
      <c r="O90" s="23">
        <v>23</v>
      </c>
      <c r="P90" s="23">
        <v>14</v>
      </c>
      <c r="Q90" s="23">
        <v>11</v>
      </c>
      <c r="R90" s="23">
        <v>69</v>
      </c>
      <c r="S90" s="24"/>
    </row>
    <row r="91" spans="2:19" x14ac:dyDescent="0.3">
      <c r="B91" s="85"/>
      <c r="C91" s="23"/>
      <c r="D91" s="23" t="s">
        <v>191</v>
      </c>
      <c r="E91" s="23"/>
      <c r="F91" s="23">
        <v>2</v>
      </c>
      <c r="G91" s="23">
        <v>1</v>
      </c>
      <c r="H91" s="23"/>
      <c r="I91" s="23">
        <v>3</v>
      </c>
      <c r="K91" s="85"/>
      <c r="L91" s="23"/>
      <c r="M91" s="23" t="s">
        <v>191</v>
      </c>
      <c r="N91" s="23"/>
      <c r="O91" s="23">
        <v>2</v>
      </c>
      <c r="P91" s="23">
        <v>1</v>
      </c>
      <c r="Q91" s="23"/>
      <c r="R91" s="23">
        <v>3</v>
      </c>
      <c r="S91" s="24"/>
    </row>
    <row r="92" spans="2:19" x14ac:dyDescent="0.3">
      <c r="B92" s="85"/>
      <c r="C92" s="23"/>
      <c r="D92" s="23" t="s">
        <v>193</v>
      </c>
      <c r="E92" s="23">
        <v>4</v>
      </c>
      <c r="F92" s="23">
        <v>7</v>
      </c>
      <c r="G92" s="23">
        <v>11</v>
      </c>
      <c r="H92" s="23">
        <v>9</v>
      </c>
      <c r="I92" s="23">
        <v>31</v>
      </c>
      <c r="K92" s="85"/>
      <c r="L92" s="23"/>
      <c r="M92" s="23" t="s">
        <v>193</v>
      </c>
      <c r="N92" s="23">
        <v>4</v>
      </c>
      <c r="O92" s="23">
        <v>7</v>
      </c>
      <c r="P92" s="23">
        <v>11</v>
      </c>
      <c r="Q92" s="23">
        <v>9</v>
      </c>
      <c r="R92" s="23">
        <v>31</v>
      </c>
      <c r="S92" s="24"/>
    </row>
    <row r="93" spans="2:19" x14ac:dyDescent="0.3">
      <c r="K93" s="86" t="s">
        <v>210</v>
      </c>
      <c r="L93" s="87"/>
      <c r="M93" s="87"/>
      <c r="N93" s="87">
        <v>2131</v>
      </c>
      <c r="O93" s="87">
        <v>2095</v>
      </c>
      <c r="P93" s="87">
        <v>2126</v>
      </c>
      <c r="Q93" s="87">
        <v>2207</v>
      </c>
      <c r="R93" s="87">
        <v>8559</v>
      </c>
      <c r="S93" s="88"/>
    </row>
    <row r="94" spans="2:19" ht="6.75" customHeight="1" thickBot="1" x14ac:dyDescent="0.35">
      <c r="K94" s="26"/>
      <c r="L94" s="27"/>
      <c r="M94" s="27"/>
      <c r="N94" s="27"/>
      <c r="O94" s="27"/>
      <c r="P94" s="27"/>
      <c r="Q94" s="27"/>
      <c r="R94" s="27"/>
      <c r="S9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&amp;T&amp;C&amp;8&amp;Z&amp;F&amp;R&amp;8&amp;P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CACADC"/>
  </sheetPr>
  <dimension ref="K10:Y37"/>
  <sheetViews>
    <sheetView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7" sqref="L17"/>
    </sheetView>
  </sheetViews>
  <sheetFormatPr defaultColWidth="9.33203125" defaultRowHeight="10.15" x14ac:dyDescent="0.3"/>
  <cols>
    <col min="1" max="10" width="9.33203125" style="89"/>
    <col min="11" max="11" width="25.83203125" style="89" bestFit="1" customWidth="1"/>
    <col min="12" max="12" width="4.4140625" style="89" customWidth="1"/>
    <col min="13" max="13" width="4.1640625" style="89" customWidth="1"/>
    <col min="14" max="15" width="4.1640625" style="89" bestFit="1" customWidth="1"/>
    <col min="16" max="16" width="4.4140625" style="89" bestFit="1" customWidth="1"/>
    <col min="17" max="17" width="4" style="89" bestFit="1" customWidth="1"/>
    <col min="18" max="18" width="4.1640625" style="89" bestFit="1" customWidth="1"/>
    <col min="19" max="19" width="4.4140625" style="89" bestFit="1" customWidth="1"/>
    <col min="20" max="20" width="4.33203125" style="89" bestFit="1" customWidth="1"/>
    <col min="21" max="21" width="4.1640625" style="89" bestFit="1" customWidth="1"/>
    <col min="22" max="23" width="4.33203125" style="89" bestFit="1" customWidth="1"/>
    <col min="24" max="24" width="5.1640625" style="89" bestFit="1" customWidth="1"/>
    <col min="25" max="25" width="1.83203125" style="89" customWidth="1"/>
    <col min="26" max="16384" width="9.33203125" style="89"/>
  </cols>
  <sheetData>
    <row r="10" spans="11:25" ht="10.5" thickBot="1" x14ac:dyDescent="0.35"/>
    <row r="11" spans="11:25" ht="15" x14ac:dyDescent="0.3">
      <c r="K11" s="29" t="s">
        <v>211</v>
      </c>
      <c r="L11" s="49"/>
      <c r="M11" s="49" t="str">
        <f>kOrgName</f>
        <v>AbleOwl © 2024</v>
      </c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106"/>
    </row>
    <row r="12" spans="11:25" ht="15" x14ac:dyDescent="0.3">
      <c r="K12" s="32"/>
      <c r="L12" s="16"/>
      <c r="M12" s="16" t="str">
        <f ca="1">kNow</f>
        <v xml:space="preserve">13-Oct-2024 7:14 PM 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07"/>
    </row>
    <row r="13" spans="11:25" ht="13.15" x14ac:dyDescent="0.3">
      <c r="K13" s="50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07"/>
    </row>
    <row r="14" spans="11:25" ht="12.7" customHeight="1" thickBot="1" x14ac:dyDescent="0.35">
      <c r="K14" s="51" t="s">
        <v>234</v>
      </c>
      <c r="L14" s="52" t="s">
        <v>212</v>
      </c>
      <c r="M14" s="52" t="s">
        <v>213</v>
      </c>
      <c r="N14" s="52" t="s">
        <v>214</v>
      </c>
      <c r="O14" s="52" t="s">
        <v>215</v>
      </c>
      <c r="P14" s="52" t="s">
        <v>216</v>
      </c>
      <c r="Q14" s="52" t="s">
        <v>217</v>
      </c>
      <c r="R14" s="52" t="s">
        <v>218</v>
      </c>
      <c r="S14" s="52" t="s">
        <v>219</v>
      </c>
      <c r="T14" s="52" t="s">
        <v>220</v>
      </c>
      <c r="U14" s="52" t="s">
        <v>221</v>
      </c>
      <c r="V14" s="52" t="s">
        <v>222</v>
      </c>
      <c r="W14" s="52" t="s">
        <v>223</v>
      </c>
      <c r="X14" s="52" t="s">
        <v>224</v>
      </c>
      <c r="Y14" s="53"/>
    </row>
    <row r="15" spans="11:25" x14ac:dyDescent="0.3">
      <c r="K15" s="115" t="s">
        <v>225</v>
      </c>
      <c r="L15" s="95">
        <v>90</v>
      </c>
      <c r="M15" s="96">
        <v>93</v>
      </c>
      <c r="N15" s="96">
        <v>89</v>
      </c>
      <c r="O15" s="96">
        <v>90</v>
      </c>
      <c r="P15" s="96">
        <v>87</v>
      </c>
      <c r="Q15" s="96">
        <v>98</v>
      </c>
      <c r="R15" s="96">
        <v>97</v>
      </c>
      <c r="S15" s="96">
        <v>92</v>
      </c>
      <c r="T15" s="96">
        <v>98</v>
      </c>
      <c r="U15" s="96">
        <v>100</v>
      </c>
      <c r="V15" s="96">
        <v>90</v>
      </c>
      <c r="W15" s="96">
        <v>89</v>
      </c>
      <c r="X15" s="94">
        <f t="shared" ref="X15:X20" si="0">IF(ISERROR(ROUND(AVERAGE(L15:W15),0)),0,ROUND(AVERAGE(L15:W15),0))</f>
        <v>93</v>
      </c>
      <c r="Y15" s="112"/>
    </row>
    <row r="16" spans="11:25" x14ac:dyDescent="0.3">
      <c r="K16" s="116" t="s">
        <v>226</v>
      </c>
      <c r="L16" s="92">
        <v>99</v>
      </c>
      <c r="M16" s="93">
        <v>92</v>
      </c>
      <c r="N16" s="93">
        <v>90</v>
      </c>
      <c r="O16" s="93">
        <v>97</v>
      </c>
      <c r="P16" s="93">
        <v>99</v>
      </c>
      <c r="Q16" s="93">
        <v>94</v>
      </c>
      <c r="R16" s="93">
        <v>91</v>
      </c>
      <c r="S16" s="93">
        <v>99</v>
      </c>
      <c r="T16" s="93">
        <v>96</v>
      </c>
      <c r="U16" s="93">
        <v>91</v>
      </c>
      <c r="V16" s="93">
        <v>95</v>
      </c>
      <c r="W16" s="93">
        <v>96</v>
      </c>
      <c r="X16" s="94">
        <f t="shared" si="0"/>
        <v>95</v>
      </c>
      <c r="Y16" s="112"/>
    </row>
    <row r="17" spans="11:25" x14ac:dyDescent="0.3">
      <c r="K17" s="117" t="s">
        <v>227</v>
      </c>
      <c r="L17" s="95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1">
        <f t="shared" si="0"/>
        <v>0</v>
      </c>
      <c r="Y17" s="112"/>
    </row>
    <row r="18" spans="11:25" x14ac:dyDescent="0.3">
      <c r="K18" s="118" t="s">
        <v>228</v>
      </c>
      <c r="L18" s="92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7">
        <f t="shared" si="0"/>
        <v>0</v>
      </c>
      <c r="Y18" s="112"/>
    </row>
    <row r="19" spans="11:25" x14ac:dyDescent="0.3">
      <c r="K19" s="119" t="s">
        <v>229</v>
      </c>
      <c r="L19" s="95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4">
        <f t="shared" si="0"/>
        <v>0</v>
      </c>
      <c r="Y19" s="112"/>
    </row>
    <row r="20" spans="11:25" x14ac:dyDescent="0.3">
      <c r="K20" s="118" t="s">
        <v>230</v>
      </c>
      <c r="L20" s="92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7">
        <f t="shared" si="0"/>
        <v>0</v>
      </c>
      <c r="Y20" s="112"/>
    </row>
    <row r="21" spans="11:25" x14ac:dyDescent="0.3">
      <c r="K21" s="109"/>
      <c r="Y21" s="112"/>
    </row>
    <row r="22" spans="11:25" x14ac:dyDescent="0.3">
      <c r="K22" s="109"/>
      <c r="L22" s="108" t="s">
        <v>231</v>
      </c>
      <c r="Y22" s="112"/>
    </row>
    <row r="23" spans="11:25" x14ac:dyDescent="0.3">
      <c r="K23" s="109"/>
      <c r="Y23" s="112"/>
    </row>
    <row r="24" spans="11:25" x14ac:dyDescent="0.3">
      <c r="K24" s="109"/>
      <c r="M24" s="98" t="s">
        <v>232</v>
      </c>
      <c r="N24" s="99" t="s">
        <v>233</v>
      </c>
      <c r="Y24" s="112"/>
    </row>
    <row r="25" spans="11:25" x14ac:dyDescent="0.3">
      <c r="K25" s="109"/>
      <c r="L25" s="100" t="s">
        <v>212</v>
      </c>
      <c r="M25" s="90">
        <v>78.475997680596322</v>
      </c>
      <c r="N25" s="101">
        <v>105.27576203241237</v>
      </c>
      <c r="Y25" s="112"/>
    </row>
    <row r="26" spans="11:25" x14ac:dyDescent="0.3">
      <c r="K26" s="109"/>
      <c r="L26" s="102" t="s">
        <v>213</v>
      </c>
      <c r="M26" s="96">
        <v>90.753589472360986</v>
      </c>
      <c r="N26" s="103">
        <v>79.966848364790181</v>
      </c>
      <c r="Y26" s="112"/>
    </row>
    <row r="27" spans="11:25" x14ac:dyDescent="0.3">
      <c r="K27" s="109"/>
      <c r="L27" s="102" t="s">
        <v>214</v>
      </c>
      <c r="M27" s="96">
        <v>85.243605584049902</v>
      </c>
      <c r="N27" s="103">
        <v>105.60966765253205</v>
      </c>
      <c r="Y27" s="112"/>
    </row>
    <row r="28" spans="11:25" x14ac:dyDescent="0.3">
      <c r="K28" s="109"/>
      <c r="L28" s="102" t="s">
        <v>215</v>
      </c>
      <c r="M28" s="96">
        <v>74.394869922296451</v>
      </c>
      <c r="N28" s="103">
        <v>76.796178607292319</v>
      </c>
      <c r="Y28" s="112"/>
    </row>
    <row r="29" spans="11:25" x14ac:dyDescent="0.3">
      <c r="K29" s="109"/>
      <c r="L29" s="102" t="s">
        <v>216</v>
      </c>
      <c r="M29" s="96">
        <v>95.927692114149608</v>
      </c>
      <c r="N29" s="103">
        <v>91.230213794281497</v>
      </c>
      <c r="Y29" s="112"/>
    </row>
    <row r="30" spans="11:25" x14ac:dyDescent="0.3">
      <c r="K30" s="109"/>
      <c r="L30" s="102" t="s">
        <v>217</v>
      </c>
      <c r="M30" s="96">
        <v>69.945468913338985</v>
      </c>
      <c r="N30" s="103">
        <v>75.722480140742789</v>
      </c>
      <c r="Y30" s="112"/>
    </row>
    <row r="31" spans="11:25" x14ac:dyDescent="0.3">
      <c r="K31" s="109"/>
      <c r="L31" s="102" t="s">
        <v>218</v>
      </c>
      <c r="M31" s="96">
        <v>100.99595377183476</v>
      </c>
      <c r="N31" s="103">
        <v>92.603424375290331</v>
      </c>
      <c r="Y31" s="112"/>
    </row>
    <row r="32" spans="11:25" x14ac:dyDescent="0.3">
      <c r="K32" s="109"/>
      <c r="L32" s="102" t="s">
        <v>219</v>
      </c>
      <c r="M32" s="96">
        <v>85.153082983761678</v>
      </c>
      <c r="N32" s="103">
        <v>97.211510634214648</v>
      </c>
      <c r="Y32" s="112"/>
    </row>
    <row r="33" spans="11:25" x14ac:dyDescent="0.3">
      <c r="K33" s="109"/>
      <c r="L33" s="102" t="s">
        <v>220</v>
      </c>
      <c r="M33" s="96">
        <v>106.06604708213681</v>
      </c>
      <c r="N33" s="103">
        <v>84.452150389062169</v>
      </c>
      <c r="Y33" s="112"/>
    </row>
    <row r="34" spans="11:25" x14ac:dyDescent="0.3">
      <c r="K34" s="109"/>
      <c r="L34" s="102" t="s">
        <v>221</v>
      </c>
      <c r="M34" s="96">
        <v>76.38276368833192</v>
      </c>
      <c r="N34" s="103">
        <v>110.01794683600959</v>
      </c>
      <c r="Y34" s="112"/>
    </row>
    <row r="35" spans="11:25" x14ac:dyDescent="0.3">
      <c r="K35" s="109"/>
      <c r="L35" s="102" t="s">
        <v>222</v>
      </c>
      <c r="M35" s="96">
        <v>136.15698603665533</v>
      </c>
      <c r="N35" s="103">
        <v>101.29649882693248</v>
      </c>
      <c r="Y35" s="112"/>
    </row>
    <row r="36" spans="11:25" x14ac:dyDescent="0.3">
      <c r="K36" s="109"/>
      <c r="L36" s="104" t="s">
        <v>223</v>
      </c>
      <c r="M36" s="93">
        <v>120.89710599487067</v>
      </c>
      <c r="N36" s="105">
        <v>120.69645612103153</v>
      </c>
      <c r="Y36" s="112"/>
    </row>
    <row r="37" spans="11:25" ht="6.75" customHeight="1" thickBot="1" x14ac:dyDescent="0.35">
      <c r="K37" s="110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indexed="13"/>
  </sheetPr>
  <dimension ref="B10:S3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8" sqref="L18"/>
    </sheetView>
  </sheetViews>
  <sheetFormatPr defaultRowHeight="10.15" x14ac:dyDescent="0.3"/>
  <cols>
    <col min="1" max="1" width="50.83203125" customWidth="1"/>
    <col min="11" max="11" width="17.6640625" bestFit="1" customWidth="1"/>
    <col min="12" max="12" width="9.4140625" bestFit="1" customWidth="1"/>
    <col min="13" max="13" width="7.1640625" customWidth="1"/>
    <col min="14" max="14" width="18.4140625" bestFit="1" customWidth="1"/>
    <col min="15" max="18" width="6.6640625" customWidth="1"/>
    <col min="19" max="19" width="1.83203125" customWidth="1"/>
  </cols>
  <sheetData>
    <row r="10" spans="2:19" ht="10.5" thickBot="1" x14ac:dyDescent="0.35"/>
    <row r="11" spans="2:19" ht="15" x14ac:dyDescent="0.3">
      <c r="K11" s="29" t="s">
        <v>139</v>
      </c>
      <c r="L11" s="30"/>
      <c r="M11" s="49" t="str">
        <f>kOrgName</f>
        <v>AbleOwl © 2024</v>
      </c>
      <c r="N11" s="30"/>
      <c r="O11" s="30"/>
      <c r="P11" s="30"/>
      <c r="Q11" s="30"/>
      <c r="R11" s="30"/>
      <c r="S11" s="31"/>
    </row>
    <row r="12" spans="2:19" ht="13.15" x14ac:dyDescent="0.3">
      <c r="K12" s="50"/>
      <c r="L12" s="33"/>
      <c r="M12" s="16" t="str">
        <f ca="1">kNow</f>
        <v xml:space="preserve">13-Oct-2024 7:14 PM </v>
      </c>
      <c r="N12" s="33"/>
      <c r="O12" s="33"/>
      <c r="P12" s="33"/>
      <c r="Q12" s="33"/>
      <c r="R12" s="33"/>
      <c r="S12" s="34"/>
    </row>
    <row r="13" spans="2:19" ht="13.15" x14ac:dyDescent="0.3">
      <c r="B13" s="168" t="s">
        <v>1552</v>
      </c>
      <c r="C13" s="168"/>
      <c r="D13" s="168"/>
      <c r="E13" s="168"/>
      <c r="F13" s="168"/>
      <c r="G13" s="168"/>
      <c r="H13" s="168"/>
      <c r="I13" s="168"/>
      <c r="K13" s="50"/>
      <c r="L13" s="33"/>
      <c r="M13" s="33"/>
      <c r="N13" s="33"/>
      <c r="O13" s="33"/>
      <c r="P13" s="33"/>
      <c r="Q13" s="33"/>
      <c r="R13" s="33"/>
      <c r="S13" s="34"/>
    </row>
    <row r="14" spans="2:19" ht="11.55" customHeight="1" thickBot="1" x14ac:dyDescent="0.35">
      <c r="K14" s="169" t="s">
        <v>235</v>
      </c>
      <c r="L14" s="170" t="s">
        <v>236</v>
      </c>
      <c r="M14" s="170" t="s">
        <v>237</v>
      </c>
      <c r="N14" s="170" t="s">
        <v>238</v>
      </c>
      <c r="O14" s="170" t="s">
        <v>183</v>
      </c>
      <c r="P14" s="170" t="s">
        <v>184</v>
      </c>
      <c r="Q14" s="170" t="s">
        <v>185</v>
      </c>
      <c r="R14" s="170" t="s">
        <v>186</v>
      </c>
      <c r="S14" s="53"/>
    </row>
    <row r="15" spans="2:19" x14ac:dyDescent="0.3">
      <c r="B15" s="4" t="s">
        <v>239</v>
      </c>
      <c r="C15" s="2" t="s">
        <v>240</v>
      </c>
      <c r="D15" s="2" t="s">
        <v>241</v>
      </c>
      <c r="E15" s="2" t="s">
        <v>242</v>
      </c>
      <c r="F15" s="120">
        <v>462</v>
      </c>
      <c r="G15" s="120">
        <v>268</v>
      </c>
      <c r="H15" s="120">
        <v>1309</v>
      </c>
      <c r="I15" s="120">
        <v>662</v>
      </c>
      <c r="K15" s="4" t="s">
        <v>239</v>
      </c>
      <c r="L15" s="2" t="s">
        <v>240</v>
      </c>
      <c r="M15" s="2" t="s">
        <v>241</v>
      </c>
      <c r="N15" s="2" t="s">
        <v>242</v>
      </c>
      <c r="O15" s="120">
        <v>462</v>
      </c>
      <c r="P15" s="120">
        <v>268</v>
      </c>
      <c r="Q15" s="120">
        <v>1309</v>
      </c>
      <c r="R15" s="120">
        <v>662</v>
      </c>
      <c r="S15" s="3"/>
    </row>
    <row r="16" spans="2:19" x14ac:dyDescent="0.3">
      <c r="B16" s="4" t="s">
        <v>243</v>
      </c>
      <c r="C16" s="2" t="s">
        <v>244</v>
      </c>
      <c r="D16" s="2" t="s">
        <v>245</v>
      </c>
      <c r="E16" s="2" t="s">
        <v>242</v>
      </c>
      <c r="F16" s="120">
        <v>1813</v>
      </c>
      <c r="G16" s="120">
        <v>426</v>
      </c>
      <c r="H16" s="120">
        <v>3625</v>
      </c>
      <c r="I16" s="120">
        <v>1572</v>
      </c>
      <c r="K16" s="4" t="s">
        <v>243</v>
      </c>
      <c r="L16" s="2" t="s">
        <v>244</v>
      </c>
      <c r="M16" s="2" t="s">
        <v>245</v>
      </c>
      <c r="N16" s="2" t="s">
        <v>242</v>
      </c>
      <c r="O16" s="120">
        <v>1813</v>
      </c>
      <c r="P16" s="120">
        <v>426</v>
      </c>
      <c r="Q16" s="120">
        <v>3625</v>
      </c>
      <c r="R16" s="120">
        <v>1572</v>
      </c>
      <c r="S16" s="3"/>
    </row>
    <row r="17" spans="2:19" x14ac:dyDescent="0.3">
      <c r="B17" s="4" t="s">
        <v>243</v>
      </c>
      <c r="C17" s="2" t="s">
        <v>240</v>
      </c>
      <c r="D17" s="2" t="s">
        <v>241</v>
      </c>
      <c r="E17" s="2" t="s">
        <v>246</v>
      </c>
      <c r="F17" s="120">
        <v>1242</v>
      </c>
      <c r="G17" s="120">
        <v>1061</v>
      </c>
      <c r="H17" s="120">
        <v>1005</v>
      </c>
      <c r="I17" s="120">
        <v>882</v>
      </c>
      <c r="K17" s="4" t="s">
        <v>243</v>
      </c>
      <c r="L17" s="2" t="s">
        <v>240</v>
      </c>
      <c r="M17" s="2" t="s">
        <v>241</v>
      </c>
      <c r="N17" s="2" t="s">
        <v>246</v>
      </c>
      <c r="O17" s="120">
        <v>1242</v>
      </c>
      <c r="P17" s="120">
        <v>1061</v>
      </c>
      <c r="Q17" s="120">
        <v>1005</v>
      </c>
      <c r="R17" s="120">
        <v>882</v>
      </c>
      <c r="S17" s="3"/>
    </row>
    <row r="18" spans="2:19" x14ac:dyDescent="0.3">
      <c r="B18" s="4" t="s">
        <v>239</v>
      </c>
      <c r="C18" s="2" t="s">
        <v>240</v>
      </c>
      <c r="D18" s="2" t="s">
        <v>245</v>
      </c>
      <c r="E18" s="2" t="s">
        <v>246</v>
      </c>
      <c r="F18" s="120">
        <v>1788</v>
      </c>
      <c r="G18" s="120">
        <v>92</v>
      </c>
      <c r="H18" s="120">
        <v>297</v>
      </c>
      <c r="I18" s="120">
        <v>424</v>
      </c>
      <c r="K18" s="4" t="s">
        <v>239</v>
      </c>
      <c r="L18" s="2" t="s">
        <v>240</v>
      </c>
      <c r="M18" s="2" t="s">
        <v>245</v>
      </c>
      <c r="N18" s="2" t="s">
        <v>246</v>
      </c>
      <c r="O18" s="120">
        <v>1788</v>
      </c>
      <c r="P18" s="120">
        <v>92</v>
      </c>
      <c r="Q18" s="120">
        <v>297</v>
      </c>
      <c r="R18" s="120">
        <v>424</v>
      </c>
      <c r="S18" s="3"/>
    </row>
    <row r="19" spans="2:19" x14ac:dyDescent="0.3">
      <c r="B19" s="4" t="s">
        <v>239</v>
      </c>
      <c r="C19" s="2" t="s">
        <v>244</v>
      </c>
      <c r="D19" s="2" t="s">
        <v>241</v>
      </c>
      <c r="E19" s="2" t="s">
        <v>246</v>
      </c>
      <c r="F19" s="120">
        <v>560</v>
      </c>
      <c r="G19" s="120">
        <v>857</v>
      </c>
      <c r="H19" s="120">
        <v>978</v>
      </c>
      <c r="I19" s="120">
        <v>399</v>
      </c>
      <c r="K19" s="4" t="s">
        <v>239</v>
      </c>
      <c r="L19" s="2" t="s">
        <v>244</v>
      </c>
      <c r="M19" s="2" t="s">
        <v>241</v>
      </c>
      <c r="N19" s="2" t="s">
        <v>246</v>
      </c>
      <c r="O19" s="120">
        <v>560</v>
      </c>
      <c r="P19" s="120">
        <v>857</v>
      </c>
      <c r="Q19" s="120">
        <v>978</v>
      </c>
      <c r="R19" s="120">
        <v>399</v>
      </c>
      <c r="S19" s="3"/>
    </row>
    <row r="20" spans="2:19" x14ac:dyDescent="0.3">
      <c r="B20" s="4" t="s">
        <v>243</v>
      </c>
      <c r="C20" s="2" t="s">
        <v>240</v>
      </c>
      <c r="D20" s="2" t="s">
        <v>245</v>
      </c>
      <c r="E20" s="2" t="s">
        <v>246</v>
      </c>
      <c r="F20" s="120">
        <v>3003</v>
      </c>
      <c r="G20" s="120">
        <v>752</v>
      </c>
      <c r="H20" s="120">
        <v>1389</v>
      </c>
      <c r="I20" s="120">
        <v>773</v>
      </c>
      <c r="K20" s="4" t="s">
        <v>243</v>
      </c>
      <c r="L20" s="2" t="s">
        <v>240</v>
      </c>
      <c r="M20" s="2" t="s">
        <v>245</v>
      </c>
      <c r="N20" s="2" t="s">
        <v>246</v>
      </c>
      <c r="O20" s="120">
        <v>3003</v>
      </c>
      <c r="P20" s="120">
        <v>752</v>
      </c>
      <c r="Q20" s="120">
        <v>1389</v>
      </c>
      <c r="R20" s="120">
        <v>773</v>
      </c>
      <c r="S20" s="3"/>
    </row>
    <row r="21" spans="2:19" x14ac:dyDescent="0.3">
      <c r="B21" s="4" t="s">
        <v>243</v>
      </c>
      <c r="C21" s="2" t="s">
        <v>244</v>
      </c>
      <c r="D21" s="2" t="s">
        <v>245</v>
      </c>
      <c r="E21" s="2" t="s">
        <v>246</v>
      </c>
      <c r="F21" s="120">
        <v>579</v>
      </c>
      <c r="G21" s="120">
        <v>1411</v>
      </c>
      <c r="H21" s="120">
        <v>1904</v>
      </c>
      <c r="I21" s="120">
        <v>3169</v>
      </c>
      <c r="K21" s="4" t="s">
        <v>243</v>
      </c>
      <c r="L21" s="2" t="s">
        <v>244</v>
      </c>
      <c r="M21" s="2" t="s">
        <v>245</v>
      </c>
      <c r="N21" s="2" t="s">
        <v>246</v>
      </c>
      <c r="O21" s="120">
        <v>579</v>
      </c>
      <c r="P21" s="120">
        <v>1411</v>
      </c>
      <c r="Q21" s="120">
        <v>1904</v>
      </c>
      <c r="R21" s="120">
        <v>3169</v>
      </c>
      <c r="S21" s="3"/>
    </row>
    <row r="22" spans="2:19" x14ac:dyDescent="0.3">
      <c r="B22" s="4" t="s">
        <v>243</v>
      </c>
      <c r="C22" s="2" t="s">
        <v>240</v>
      </c>
      <c r="D22" s="2" t="s">
        <v>241</v>
      </c>
      <c r="E22" s="2" t="s">
        <v>242</v>
      </c>
      <c r="F22" s="120">
        <v>1095</v>
      </c>
      <c r="G22" s="120">
        <v>769</v>
      </c>
      <c r="H22" s="120">
        <v>2656</v>
      </c>
      <c r="I22" s="120">
        <v>1078</v>
      </c>
      <c r="K22" s="4" t="s">
        <v>243</v>
      </c>
      <c r="L22" s="2" t="s">
        <v>240</v>
      </c>
      <c r="M22" s="2" t="s">
        <v>241</v>
      </c>
      <c r="N22" s="2" t="s">
        <v>242</v>
      </c>
      <c r="O22" s="120">
        <v>1095</v>
      </c>
      <c r="P22" s="120">
        <v>769</v>
      </c>
      <c r="Q22" s="120">
        <v>2656</v>
      </c>
      <c r="R22" s="120">
        <v>1078</v>
      </c>
      <c r="S22" s="3"/>
    </row>
    <row r="23" spans="2:19" x14ac:dyDescent="0.3">
      <c r="B23" s="4" t="s">
        <v>239</v>
      </c>
      <c r="C23" s="2" t="s">
        <v>244</v>
      </c>
      <c r="D23" s="2" t="s">
        <v>245</v>
      </c>
      <c r="E23" s="2" t="s">
        <v>242</v>
      </c>
      <c r="F23" s="120">
        <v>726</v>
      </c>
      <c r="G23" s="120">
        <v>275</v>
      </c>
      <c r="H23" s="120">
        <v>277</v>
      </c>
      <c r="I23" s="120">
        <v>749</v>
      </c>
      <c r="K23" s="4" t="s">
        <v>239</v>
      </c>
      <c r="L23" s="2" t="s">
        <v>244</v>
      </c>
      <c r="M23" s="2" t="s">
        <v>245</v>
      </c>
      <c r="N23" s="2" t="s">
        <v>242</v>
      </c>
      <c r="O23" s="120">
        <v>726</v>
      </c>
      <c r="P23" s="120">
        <v>275</v>
      </c>
      <c r="Q23" s="120">
        <v>277</v>
      </c>
      <c r="R23" s="120">
        <v>749</v>
      </c>
      <c r="S23" s="3"/>
    </row>
    <row r="24" spans="2:19" x14ac:dyDescent="0.3">
      <c r="B24" s="4" t="s">
        <v>239</v>
      </c>
      <c r="C24" s="2" t="s">
        <v>240</v>
      </c>
      <c r="D24" s="2" t="s">
        <v>241</v>
      </c>
      <c r="E24" s="2" t="s">
        <v>246</v>
      </c>
      <c r="F24" s="120">
        <v>1149</v>
      </c>
      <c r="G24" s="120">
        <v>78</v>
      </c>
      <c r="H24" s="120">
        <v>91</v>
      </c>
      <c r="I24" s="120">
        <v>223</v>
      </c>
      <c r="K24" s="4" t="s">
        <v>239</v>
      </c>
      <c r="L24" s="2" t="s">
        <v>240</v>
      </c>
      <c r="M24" s="2" t="s">
        <v>241</v>
      </c>
      <c r="N24" s="2" t="s">
        <v>246</v>
      </c>
      <c r="O24" s="120">
        <v>1149</v>
      </c>
      <c r="P24" s="120">
        <v>78</v>
      </c>
      <c r="Q24" s="120">
        <v>91</v>
      </c>
      <c r="R24" s="120">
        <v>223</v>
      </c>
      <c r="S24" s="3"/>
    </row>
    <row r="25" spans="2:19" x14ac:dyDescent="0.3">
      <c r="B25" s="4" t="s">
        <v>239</v>
      </c>
      <c r="C25" s="2" t="s">
        <v>244</v>
      </c>
      <c r="D25" s="2" t="s">
        <v>245</v>
      </c>
      <c r="E25" s="2" t="s">
        <v>246</v>
      </c>
      <c r="F25" s="120">
        <v>454</v>
      </c>
      <c r="G25" s="120">
        <v>142</v>
      </c>
      <c r="H25" s="120">
        <v>286</v>
      </c>
      <c r="I25" s="120">
        <v>2989</v>
      </c>
      <c r="K25" s="4" t="s">
        <v>239</v>
      </c>
      <c r="L25" s="2" t="s">
        <v>244</v>
      </c>
      <c r="M25" s="2" t="s">
        <v>245</v>
      </c>
      <c r="N25" s="2" t="s">
        <v>246</v>
      </c>
      <c r="O25" s="120">
        <v>454</v>
      </c>
      <c r="P25" s="120">
        <v>142</v>
      </c>
      <c r="Q25" s="120">
        <v>286</v>
      </c>
      <c r="R25" s="120">
        <v>2989</v>
      </c>
      <c r="S25" s="3"/>
    </row>
    <row r="26" spans="2:19" x14ac:dyDescent="0.3">
      <c r="B26" s="4" t="s">
        <v>243</v>
      </c>
      <c r="C26" s="2" t="s">
        <v>240</v>
      </c>
      <c r="D26" s="2" t="s">
        <v>245</v>
      </c>
      <c r="E26" s="2" t="s">
        <v>242</v>
      </c>
      <c r="F26" s="120">
        <v>439</v>
      </c>
      <c r="G26" s="120">
        <v>977</v>
      </c>
      <c r="H26" s="120">
        <v>850</v>
      </c>
      <c r="I26" s="120">
        <v>354</v>
      </c>
      <c r="K26" s="4" t="s">
        <v>243</v>
      </c>
      <c r="L26" s="2" t="s">
        <v>240</v>
      </c>
      <c r="M26" s="2" t="s">
        <v>245</v>
      </c>
      <c r="N26" s="2" t="s">
        <v>242</v>
      </c>
      <c r="O26" s="120">
        <v>439</v>
      </c>
      <c r="P26" s="120">
        <v>977</v>
      </c>
      <c r="Q26" s="120">
        <v>850</v>
      </c>
      <c r="R26" s="120">
        <v>354</v>
      </c>
      <c r="S26" s="3"/>
    </row>
    <row r="27" spans="2:19" x14ac:dyDescent="0.3">
      <c r="B27" s="4" t="s">
        <v>243</v>
      </c>
      <c r="C27" s="2" t="s">
        <v>244</v>
      </c>
      <c r="D27" s="2" t="s">
        <v>241</v>
      </c>
      <c r="E27" s="2" t="s">
        <v>246</v>
      </c>
      <c r="F27" s="120">
        <v>956</v>
      </c>
      <c r="G27" s="120">
        <v>1163</v>
      </c>
      <c r="H27" s="120">
        <v>1253</v>
      </c>
      <c r="I27" s="120">
        <v>1322</v>
      </c>
      <c r="K27" s="4" t="s">
        <v>243</v>
      </c>
      <c r="L27" s="2" t="s">
        <v>244</v>
      </c>
      <c r="M27" s="2" t="s">
        <v>241</v>
      </c>
      <c r="N27" s="2" t="s">
        <v>246</v>
      </c>
      <c r="O27" s="120">
        <v>956</v>
      </c>
      <c r="P27" s="120">
        <v>1163</v>
      </c>
      <c r="Q27" s="120">
        <v>1253</v>
      </c>
      <c r="R27" s="120">
        <v>1322</v>
      </c>
      <c r="S27" s="3"/>
    </row>
    <row r="28" spans="2:19" x14ac:dyDescent="0.3">
      <c r="B28" s="4" t="s">
        <v>239</v>
      </c>
      <c r="C28" s="2" t="s">
        <v>244</v>
      </c>
      <c r="D28" s="2" t="s">
        <v>241</v>
      </c>
      <c r="E28" s="2" t="s">
        <v>242</v>
      </c>
      <c r="F28" s="120">
        <v>386</v>
      </c>
      <c r="G28" s="120">
        <v>999</v>
      </c>
      <c r="H28" s="120">
        <v>1388</v>
      </c>
      <c r="I28" s="120">
        <v>2592</v>
      </c>
      <c r="K28" s="4" t="s">
        <v>239</v>
      </c>
      <c r="L28" s="2" t="s">
        <v>244</v>
      </c>
      <c r="M28" s="2" t="s">
        <v>241</v>
      </c>
      <c r="N28" s="2" t="s">
        <v>242</v>
      </c>
      <c r="O28" s="120">
        <v>386</v>
      </c>
      <c r="P28" s="120">
        <v>999</v>
      </c>
      <c r="Q28" s="120">
        <v>1388</v>
      </c>
      <c r="R28" s="120">
        <v>2592</v>
      </c>
      <c r="S28" s="3"/>
    </row>
    <row r="29" spans="2:19" x14ac:dyDescent="0.3">
      <c r="B29" s="4" t="s">
        <v>243</v>
      </c>
      <c r="C29" s="2" t="s">
        <v>244</v>
      </c>
      <c r="D29" s="2" t="s">
        <v>241</v>
      </c>
      <c r="E29" s="2" t="s">
        <v>242</v>
      </c>
      <c r="F29" s="120">
        <v>811</v>
      </c>
      <c r="G29" s="120">
        <v>1230</v>
      </c>
      <c r="H29" s="120">
        <v>6579</v>
      </c>
      <c r="I29" s="120">
        <v>3186</v>
      </c>
      <c r="K29" s="4" t="s">
        <v>243</v>
      </c>
      <c r="L29" s="2" t="s">
        <v>244</v>
      </c>
      <c r="M29" s="2" t="s">
        <v>241</v>
      </c>
      <c r="N29" s="2" t="s">
        <v>242</v>
      </c>
      <c r="O29" s="120">
        <v>811</v>
      </c>
      <c r="P29" s="120">
        <v>1230</v>
      </c>
      <c r="Q29" s="120">
        <v>6579</v>
      </c>
      <c r="R29" s="120">
        <v>3186</v>
      </c>
      <c r="S29" s="3"/>
    </row>
    <row r="30" spans="2:19" x14ac:dyDescent="0.3">
      <c r="B30" s="4" t="s">
        <v>239</v>
      </c>
      <c r="C30" s="2" t="s">
        <v>240</v>
      </c>
      <c r="D30" s="2" t="s">
        <v>245</v>
      </c>
      <c r="E30" s="2" t="s">
        <v>242</v>
      </c>
      <c r="F30" s="120">
        <v>228</v>
      </c>
      <c r="G30" s="120">
        <v>85</v>
      </c>
      <c r="H30" s="120">
        <v>771</v>
      </c>
      <c r="I30" s="120">
        <v>153</v>
      </c>
      <c r="K30" s="4" t="s">
        <v>239</v>
      </c>
      <c r="L30" s="2" t="s">
        <v>240</v>
      </c>
      <c r="M30" s="2" t="s">
        <v>245</v>
      </c>
      <c r="N30" s="2" t="s">
        <v>242</v>
      </c>
      <c r="O30" s="120">
        <v>228</v>
      </c>
      <c r="P30" s="120">
        <v>85</v>
      </c>
      <c r="Q30" s="120">
        <v>771</v>
      </c>
      <c r="R30" s="120">
        <v>153</v>
      </c>
      <c r="S30" s="3"/>
    </row>
    <row r="31" spans="2:19" ht="6.75" customHeight="1" thickBot="1" x14ac:dyDescent="0.35">
      <c r="K31" s="6"/>
      <c r="L31" s="7"/>
      <c r="M31" s="7"/>
      <c r="N31" s="7"/>
      <c r="O31" s="7"/>
      <c r="P31" s="7"/>
      <c r="Q31" s="7"/>
      <c r="R31" s="7"/>
      <c r="S31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F10:O27"/>
  <sheetViews>
    <sheetView showOutlineSymbols="0" topLeftCell="F11" zoomScaleNormal="100" workbookViewId="0">
      <selection activeCell="F15" sqref="F15:I26"/>
    </sheetView>
  </sheetViews>
  <sheetFormatPr defaultColWidth="9.33203125" defaultRowHeight="10.15" x14ac:dyDescent="0.3"/>
  <cols>
    <col min="1" max="1" width="50.83203125" style="10" customWidth="1"/>
    <col min="2" max="5" width="9.33203125" style="10"/>
    <col min="6" max="6" width="9.75" style="10" bestFit="1" customWidth="1"/>
    <col min="7" max="10" width="9.33203125" style="10"/>
    <col min="11" max="11" width="9.83203125" style="10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6:15" ht="10.5" thickBot="1" x14ac:dyDescent="0.35"/>
    <row r="11" spans="6:15" ht="15" x14ac:dyDescent="0.3">
      <c r="K11" s="121" t="s">
        <v>247</v>
      </c>
      <c r="L11" s="12"/>
      <c r="M11" s="122"/>
      <c r="N11" s="12"/>
      <c r="O11" s="13"/>
    </row>
    <row r="12" spans="6:15" ht="13.15" x14ac:dyDescent="0.3">
      <c r="K12" s="73" t="str">
        <f>kAppName</f>
        <v>Data manipulation</v>
      </c>
      <c r="L12" s="15"/>
      <c r="M12" s="16"/>
      <c r="N12" s="15"/>
      <c r="O12" s="17"/>
    </row>
    <row r="13" spans="6:15" ht="13.15" x14ac:dyDescent="0.3">
      <c r="F13" s="166" t="s">
        <v>1552</v>
      </c>
      <c r="G13" s="167"/>
      <c r="H13" s="167"/>
      <c r="I13" s="167"/>
      <c r="K13" s="18"/>
      <c r="L13" s="15"/>
      <c r="M13" s="15"/>
      <c r="N13" s="15"/>
      <c r="O13" s="17"/>
    </row>
    <row r="14" spans="6:15" ht="10.5" thickBot="1" x14ac:dyDescent="0.35">
      <c r="K14" s="19" t="s">
        <v>248</v>
      </c>
      <c r="L14" s="20" t="s">
        <v>249</v>
      </c>
      <c r="M14" s="20" t="s">
        <v>250</v>
      </c>
      <c r="N14" s="20"/>
      <c r="O14" s="21"/>
    </row>
    <row r="15" spans="6:15" x14ac:dyDescent="0.3">
      <c r="F15" s="123">
        <v>40405</v>
      </c>
      <c r="G15" s="23" t="s">
        <v>251</v>
      </c>
      <c r="H15" s="23" t="s">
        <v>252</v>
      </c>
      <c r="I15" s="23"/>
      <c r="K15" s="123">
        <v>40405</v>
      </c>
      <c r="L15" s="23" t="s">
        <v>251</v>
      </c>
      <c r="M15" s="23" t="s">
        <v>252</v>
      </c>
      <c r="N15" s="23"/>
      <c r="O15" s="24"/>
    </row>
    <row r="16" spans="6:15" x14ac:dyDescent="0.3">
      <c r="F16" s="123">
        <v>40405</v>
      </c>
      <c r="G16" s="23" t="s">
        <v>253</v>
      </c>
      <c r="H16" s="23" t="s">
        <v>254</v>
      </c>
      <c r="I16" s="23"/>
      <c r="K16" s="123">
        <v>40405</v>
      </c>
      <c r="L16" s="23" t="s">
        <v>253</v>
      </c>
      <c r="M16" s="23" t="s">
        <v>254</v>
      </c>
      <c r="N16" s="23"/>
      <c r="O16" s="24"/>
    </row>
    <row r="17" spans="6:15" x14ac:dyDescent="0.3">
      <c r="F17" s="123">
        <v>40424</v>
      </c>
      <c r="G17" s="23" t="s">
        <v>251</v>
      </c>
      <c r="H17" s="23" t="s">
        <v>255</v>
      </c>
      <c r="I17" s="23"/>
      <c r="K17" s="123">
        <v>40424</v>
      </c>
      <c r="L17" s="23" t="s">
        <v>251</v>
      </c>
      <c r="M17" s="23" t="s">
        <v>255</v>
      </c>
      <c r="N17" s="23"/>
      <c r="O17" s="24"/>
    </row>
    <row r="18" spans="6:15" x14ac:dyDescent="0.3">
      <c r="F18" s="123">
        <v>40428</v>
      </c>
      <c r="G18" s="23" t="s">
        <v>256</v>
      </c>
      <c r="H18" s="23" t="s">
        <v>254</v>
      </c>
      <c r="I18" s="23"/>
      <c r="K18" s="123">
        <v>40428</v>
      </c>
      <c r="L18" s="23" t="s">
        <v>256</v>
      </c>
      <c r="M18" s="23" t="s">
        <v>254</v>
      </c>
      <c r="N18" s="23"/>
      <c r="O18" s="24"/>
    </row>
    <row r="19" spans="6:15" x14ac:dyDescent="0.3">
      <c r="F19" s="123">
        <v>40430</v>
      </c>
      <c r="G19" s="23" t="s">
        <v>257</v>
      </c>
      <c r="H19" s="23" t="s">
        <v>254</v>
      </c>
      <c r="I19" s="23"/>
      <c r="K19" s="123">
        <v>40430</v>
      </c>
      <c r="L19" s="23" t="s">
        <v>257</v>
      </c>
      <c r="M19" s="23" t="s">
        <v>254</v>
      </c>
      <c r="N19" s="23"/>
      <c r="O19" s="24"/>
    </row>
    <row r="20" spans="6:15" x14ac:dyDescent="0.3">
      <c r="F20" s="123">
        <v>40431</v>
      </c>
      <c r="G20" s="23" t="s">
        <v>257</v>
      </c>
      <c r="H20" s="23" t="s">
        <v>252</v>
      </c>
      <c r="I20" s="23"/>
      <c r="K20" s="123">
        <v>40431</v>
      </c>
      <c r="L20" s="23" t="s">
        <v>257</v>
      </c>
      <c r="M20" s="23" t="s">
        <v>252</v>
      </c>
      <c r="N20" s="23"/>
      <c r="O20" s="24"/>
    </row>
    <row r="21" spans="6:15" x14ac:dyDescent="0.3">
      <c r="F21" s="123">
        <v>40431</v>
      </c>
      <c r="G21" s="23" t="s">
        <v>257</v>
      </c>
      <c r="H21" s="23" t="s">
        <v>252</v>
      </c>
      <c r="I21" s="23"/>
      <c r="K21" s="123">
        <v>40431</v>
      </c>
      <c r="L21" s="23" t="s">
        <v>257</v>
      </c>
      <c r="M21" s="23" t="s">
        <v>252</v>
      </c>
      <c r="N21" s="23"/>
      <c r="O21" s="24"/>
    </row>
    <row r="22" spans="6:15" x14ac:dyDescent="0.3">
      <c r="F22" s="123">
        <v>40435</v>
      </c>
      <c r="G22" s="23" t="s">
        <v>251</v>
      </c>
      <c r="H22" s="23" t="s">
        <v>255</v>
      </c>
      <c r="I22" s="23"/>
      <c r="K22" s="123">
        <v>40435</v>
      </c>
      <c r="L22" s="23" t="s">
        <v>251</v>
      </c>
      <c r="M22" s="23" t="s">
        <v>255</v>
      </c>
      <c r="N22" s="23"/>
      <c r="O22" s="24"/>
    </row>
    <row r="23" spans="6:15" x14ac:dyDescent="0.3">
      <c r="F23" s="123">
        <v>40439</v>
      </c>
      <c r="G23" s="23" t="s">
        <v>256</v>
      </c>
      <c r="H23" s="23" t="s">
        <v>255</v>
      </c>
      <c r="I23" s="23"/>
      <c r="K23" s="123">
        <v>40439</v>
      </c>
      <c r="L23" s="23" t="s">
        <v>256</v>
      </c>
      <c r="M23" s="23" t="s">
        <v>255</v>
      </c>
      <c r="N23" s="23"/>
      <c r="O23" s="24"/>
    </row>
    <row r="24" spans="6:15" x14ac:dyDescent="0.3">
      <c r="F24" s="123">
        <v>40441</v>
      </c>
      <c r="G24" s="23" t="s">
        <v>256</v>
      </c>
      <c r="H24" s="23" t="s">
        <v>252</v>
      </c>
      <c r="I24" s="23"/>
      <c r="K24" s="123">
        <v>40441</v>
      </c>
      <c r="L24" s="23" t="s">
        <v>256</v>
      </c>
      <c r="M24" s="23" t="s">
        <v>252</v>
      </c>
      <c r="N24" s="23"/>
      <c r="O24" s="24"/>
    </row>
    <row r="25" spans="6:15" x14ac:dyDescent="0.3">
      <c r="F25" s="123">
        <v>40442</v>
      </c>
      <c r="G25" s="23" t="s">
        <v>256</v>
      </c>
      <c r="H25" s="23" t="s">
        <v>255</v>
      </c>
      <c r="I25" s="23"/>
      <c r="K25" s="123">
        <v>40442</v>
      </c>
      <c r="L25" s="23" t="s">
        <v>256</v>
      </c>
      <c r="M25" s="23" t="s">
        <v>255</v>
      </c>
      <c r="N25" s="23"/>
      <c r="O25" s="24"/>
    </row>
    <row r="26" spans="6:15" x14ac:dyDescent="0.3">
      <c r="F26" s="123">
        <v>40442</v>
      </c>
      <c r="G26" s="23" t="s">
        <v>256</v>
      </c>
      <c r="H26" s="23" t="s">
        <v>254</v>
      </c>
      <c r="I26" s="23"/>
      <c r="K26" s="123">
        <v>40442</v>
      </c>
      <c r="L26" s="23" t="s">
        <v>256</v>
      </c>
      <c r="M26" s="23" t="s">
        <v>254</v>
      </c>
      <c r="N26" s="23"/>
      <c r="O26" s="24"/>
    </row>
    <row r="27" spans="6:15" ht="6" customHeight="1" thickBot="1" x14ac:dyDescent="0.35">
      <c r="K27" s="26"/>
      <c r="L27" s="27"/>
      <c r="M27" s="27"/>
      <c r="N27" s="27"/>
      <c r="O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FF00"/>
  </sheetPr>
  <dimension ref="E10:Q21"/>
  <sheetViews>
    <sheetView showOutlineSymbols="0" topLeftCell="D11" zoomScaleNormal="100" workbookViewId="0">
      <selection activeCell="E16" sqref="E16:J20"/>
    </sheetView>
  </sheetViews>
  <sheetFormatPr defaultRowHeight="10.15" x14ac:dyDescent="0.3"/>
  <cols>
    <col min="1" max="1" width="50.83203125" customWidth="1"/>
    <col min="6" max="8" width="9.33203125" bestFit="1" customWidth="1"/>
    <col min="9" max="9" width="11.83203125" bestFit="1" customWidth="1"/>
    <col min="11" max="11" width="18.1640625" bestFit="1" customWidth="1"/>
    <col min="12" max="16" width="13.33203125" customWidth="1"/>
    <col min="17" max="17" width="1.83203125" customWidth="1"/>
  </cols>
  <sheetData>
    <row r="10" spans="5:17" ht="10.5" thickBot="1" x14ac:dyDescent="0.35"/>
    <row r="11" spans="5:17" ht="15" x14ac:dyDescent="0.3">
      <c r="K11" s="70" t="s">
        <v>258</v>
      </c>
      <c r="L11" s="30"/>
      <c r="M11" s="30" t="str">
        <f>kOrgName</f>
        <v>AbleOwl © 2024</v>
      </c>
      <c r="N11" s="30"/>
      <c r="O11" s="30"/>
      <c r="P11" s="30"/>
      <c r="Q11" s="31"/>
    </row>
    <row r="12" spans="5:17" ht="13.15" x14ac:dyDescent="0.3">
      <c r="K12" s="73" t="s">
        <v>259</v>
      </c>
      <c r="L12" s="33"/>
      <c r="M12" s="33" t="str">
        <f ca="1">kNow</f>
        <v xml:space="preserve">13-Oct-2024 7:14 PM </v>
      </c>
      <c r="N12" s="33"/>
      <c r="O12" s="33"/>
      <c r="P12" s="33"/>
      <c r="Q12" s="34"/>
    </row>
    <row r="13" spans="5:17" ht="13.15" x14ac:dyDescent="0.3">
      <c r="K13" s="73"/>
      <c r="L13" s="33"/>
      <c r="M13" s="33"/>
      <c r="N13" s="33"/>
      <c r="O13" s="33"/>
      <c r="P13" s="33"/>
      <c r="Q13" s="34"/>
    </row>
    <row r="14" spans="5:17" ht="10.5" thickBot="1" x14ac:dyDescent="0.35">
      <c r="E14" s="168" t="s">
        <v>1552</v>
      </c>
      <c r="F14" s="168"/>
      <c r="G14" s="168"/>
      <c r="H14" s="168"/>
      <c r="I14" s="168"/>
      <c r="K14" s="36"/>
      <c r="L14" s="76" t="s">
        <v>260</v>
      </c>
      <c r="M14" s="76" t="s">
        <v>261</v>
      </c>
      <c r="N14" s="76" t="s">
        <v>262</v>
      </c>
      <c r="O14" s="76" t="s">
        <v>187</v>
      </c>
      <c r="P14" s="76"/>
      <c r="Q14" s="77"/>
    </row>
    <row r="15" spans="5:17" ht="6" customHeight="1" x14ac:dyDescent="0.3">
      <c r="K15" s="1"/>
      <c r="L15" s="2"/>
      <c r="M15" s="2"/>
      <c r="N15" s="2"/>
      <c r="O15" s="2"/>
      <c r="P15" s="2"/>
      <c r="Q15" s="3"/>
    </row>
    <row r="16" spans="5:17" x14ac:dyDescent="0.3">
      <c r="E16" s="5" t="s">
        <v>263</v>
      </c>
      <c r="F16" s="124">
        <v>39393</v>
      </c>
      <c r="G16" s="124">
        <v>84494</v>
      </c>
      <c r="H16" s="124">
        <v>49944</v>
      </c>
      <c r="I16" s="124">
        <v>647383</v>
      </c>
      <c r="J16" s="125"/>
      <c r="K16" s="5" t="s">
        <v>263</v>
      </c>
      <c r="L16" s="124">
        <v>39393</v>
      </c>
      <c r="M16" s="124">
        <v>84494</v>
      </c>
      <c r="N16" s="124">
        <v>49944</v>
      </c>
      <c r="O16" s="124">
        <v>647383</v>
      </c>
      <c r="P16" s="125"/>
      <c r="Q16" s="3"/>
    </row>
    <row r="17" spans="5:17" x14ac:dyDescent="0.3">
      <c r="E17" s="5" t="s">
        <v>264</v>
      </c>
      <c r="F17" s="124">
        <v>75854</v>
      </c>
      <c r="G17" s="124">
        <v>78000</v>
      </c>
      <c r="H17" s="124">
        <v>49894</v>
      </c>
      <c r="I17" s="124">
        <v>858593</v>
      </c>
      <c r="J17" s="124"/>
      <c r="K17" s="5" t="s">
        <v>264</v>
      </c>
      <c r="L17" s="124">
        <v>75854</v>
      </c>
      <c r="M17" s="124">
        <v>78000</v>
      </c>
      <c r="N17" s="124">
        <v>49894</v>
      </c>
      <c r="O17" s="124">
        <v>858593</v>
      </c>
      <c r="P17" s="124"/>
      <c r="Q17" s="3"/>
    </row>
    <row r="18" spans="5:17" x14ac:dyDescent="0.3">
      <c r="E18" s="5" t="s">
        <v>265</v>
      </c>
      <c r="F18" s="124">
        <v>99553</v>
      </c>
      <c r="G18" s="124">
        <v>84000</v>
      </c>
      <c r="H18" s="124">
        <v>49953</v>
      </c>
      <c r="I18" s="124">
        <v>1049489</v>
      </c>
      <c r="J18" s="124"/>
      <c r="K18" s="5" t="s">
        <v>265</v>
      </c>
      <c r="L18" s="124">
        <v>99553</v>
      </c>
      <c r="M18" s="124">
        <v>84000</v>
      </c>
      <c r="N18" s="124">
        <v>49953</v>
      </c>
      <c r="O18" s="124">
        <v>1049489</v>
      </c>
      <c r="P18" s="124"/>
      <c r="Q18" s="3"/>
    </row>
    <row r="19" spans="5:17" x14ac:dyDescent="0.3">
      <c r="E19" s="5" t="s">
        <v>266</v>
      </c>
      <c r="F19" s="124">
        <v>39495</v>
      </c>
      <c r="G19" s="124">
        <v>98000</v>
      </c>
      <c r="H19" s="124">
        <v>49777</v>
      </c>
      <c r="I19" s="124">
        <v>1049404</v>
      </c>
      <c r="J19" s="124"/>
      <c r="K19" s="5" t="s">
        <v>266</v>
      </c>
      <c r="L19" s="124">
        <v>39495</v>
      </c>
      <c r="M19" s="124">
        <v>98000</v>
      </c>
      <c r="N19" s="124">
        <v>49777</v>
      </c>
      <c r="O19" s="124">
        <v>1049404</v>
      </c>
      <c r="P19" s="124"/>
      <c r="Q19" s="3"/>
    </row>
    <row r="20" spans="5:17" x14ac:dyDescent="0.3">
      <c r="E20" s="5" t="s">
        <v>267</v>
      </c>
      <c r="F20" s="124">
        <v>45435</v>
      </c>
      <c r="G20" s="124">
        <v>94500</v>
      </c>
      <c r="H20" s="124">
        <v>50238</v>
      </c>
      <c r="I20" s="124">
        <v>949355</v>
      </c>
      <c r="J20" s="124"/>
      <c r="K20" s="5" t="s">
        <v>267</v>
      </c>
      <c r="L20" s="124">
        <v>45435</v>
      </c>
      <c r="M20" s="124">
        <v>94500</v>
      </c>
      <c r="N20" s="124">
        <v>50238</v>
      </c>
      <c r="O20" s="124">
        <v>949355</v>
      </c>
      <c r="P20" s="124"/>
      <c r="Q20" s="3"/>
    </row>
    <row r="21" spans="5:17" ht="6" customHeight="1" thickBot="1" x14ac:dyDescent="0.35">
      <c r="K21" s="6"/>
      <c r="L21" s="7"/>
      <c r="M21" s="7"/>
      <c r="N21" s="7"/>
      <c r="O21" s="7"/>
      <c r="P21" s="7"/>
      <c r="Q21" s="8"/>
    </row>
  </sheetData>
  <phoneticPr fontId="0" type="noConversion"/>
  <hyperlinks>
    <hyperlink ref="O11" location="aMenu" tooltip="Return to Menu sheet" display="Menu" xr:uid="{00000000-0004-0000-0E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FF00"/>
  </sheetPr>
  <dimension ref="K10:N41"/>
  <sheetViews>
    <sheetView showOutlineSymbols="0" topLeftCell="K11" zoomScaleNormal="100" workbookViewId="0">
      <pane xSplit="1" ySplit="4" topLeftCell="L23" activePane="bottomRight" state="frozen"/>
      <selection activeCell="K11" sqref="K11"/>
      <selection pane="topRight" activeCell="L11" sqref="L11"/>
      <selection pane="bottomLeft" activeCell="K15" sqref="K15"/>
      <selection pane="bottomRight" activeCell="Z68" sqref="Z68"/>
    </sheetView>
  </sheetViews>
  <sheetFormatPr defaultRowHeight="10.15" x14ac:dyDescent="0.3"/>
  <cols>
    <col min="1" max="1" width="50.83203125" customWidth="1"/>
    <col min="11" max="11" width="8.4140625" customWidth="1"/>
    <col min="12" max="12" width="17.6640625" customWidth="1"/>
    <col min="13" max="13" width="18.6640625" customWidth="1"/>
    <col min="14" max="14" width="1.83203125" customWidth="1"/>
  </cols>
  <sheetData>
    <row r="10" spans="11:14" ht="10.5" thickBot="1" x14ac:dyDescent="0.35"/>
    <row r="11" spans="11:14" ht="15" x14ac:dyDescent="0.3">
      <c r="K11" s="70" t="s">
        <v>268</v>
      </c>
      <c r="L11" s="30"/>
      <c r="M11" s="30" t="str">
        <f>kOrgName</f>
        <v>AbleOwl © 2024</v>
      </c>
      <c r="N11" s="31"/>
    </row>
    <row r="12" spans="11:14" ht="13.15" x14ac:dyDescent="0.3">
      <c r="K12" s="73" t="s">
        <v>269</v>
      </c>
      <c r="L12" s="33"/>
      <c r="M12" s="33" t="str">
        <f ca="1">kNow</f>
        <v xml:space="preserve">13-Oct-2024 7:14 PM </v>
      </c>
      <c r="N12" s="34"/>
    </row>
    <row r="13" spans="11:14" ht="13.15" x14ac:dyDescent="0.3">
      <c r="K13" s="73"/>
      <c r="L13" s="33"/>
      <c r="M13" s="33"/>
      <c r="N13" s="34"/>
    </row>
    <row r="14" spans="11:14" ht="10.5" thickBot="1" x14ac:dyDescent="0.35">
      <c r="K14" s="129" t="s">
        <v>140</v>
      </c>
      <c r="L14" s="76" t="s">
        <v>1</v>
      </c>
      <c r="M14" s="76" t="s">
        <v>270</v>
      </c>
      <c r="N14" s="77"/>
    </row>
    <row r="15" spans="11:14" x14ac:dyDescent="0.3">
      <c r="K15" s="126">
        <v>19946</v>
      </c>
      <c r="L15" s="2" t="s">
        <v>273</v>
      </c>
      <c r="M15" s="2" t="s">
        <v>274</v>
      </c>
      <c r="N15" s="3"/>
    </row>
    <row r="16" spans="11:14" x14ac:dyDescent="0.3">
      <c r="K16" s="126">
        <v>18923</v>
      </c>
      <c r="L16" s="2" t="s">
        <v>275</v>
      </c>
      <c r="M16" s="2" t="s">
        <v>272</v>
      </c>
      <c r="N16" s="3"/>
    </row>
    <row r="17" spans="11:14" x14ac:dyDescent="0.3">
      <c r="K17" s="126">
        <v>18068</v>
      </c>
      <c r="L17" s="2" t="s">
        <v>276</v>
      </c>
      <c r="M17" s="2" t="s">
        <v>277</v>
      </c>
      <c r="N17" s="3"/>
    </row>
    <row r="18" spans="11:14" x14ac:dyDescent="0.3">
      <c r="K18" s="126">
        <v>15691</v>
      </c>
      <c r="L18" s="2" t="s">
        <v>278</v>
      </c>
      <c r="M18" s="2" t="s">
        <v>279</v>
      </c>
      <c r="N18" s="3"/>
    </row>
    <row r="19" spans="11:14" x14ac:dyDescent="0.3">
      <c r="K19" s="126">
        <v>14745</v>
      </c>
      <c r="L19" s="2" t="s">
        <v>280</v>
      </c>
      <c r="M19" s="2" t="s">
        <v>272</v>
      </c>
      <c r="N19" s="3"/>
    </row>
    <row r="20" spans="11:14" x14ac:dyDescent="0.3">
      <c r="K20" s="126">
        <v>12612</v>
      </c>
      <c r="L20" s="2" t="s">
        <v>281</v>
      </c>
      <c r="M20" s="2" t="s">
        <v>282</v>
      </c>
      <c r="N20" s="3"/>
    </row>
    <row r="21" spans="11:14" x14ac:dyDescent="0.3">
      <c r="K21" s="126">
        <v>15226</v>
      </c>
      <c r="L21" s="2" t="s">
        <v>283</v>
      </c>
      <c r="M21" s="2" t="s">
        <v>284</v>
      </c>
      <c r="N21" s="3"/>
    </row>
    <row r="22" spans="11:14" x14ac:dyDescent="0.3">
      <c r="K22" s="126">
        <v>17220</v>
      </c>
      <c r="L22" s="2" t="s">
        <v>285</v>
      </c>
      <c r="M22" s="2" t="s">
        <v>272</v>
      </c>
      <c r="N22" s="3"/>
    </row>
    <row r="23" spans="11:14" x14ac:dyDescent="0.3">
      <c r="K23" s="126">
        <v>11876</v>
      </c>
      <c r="L23" s="2" t="s">
        <v>286</v>
      </c>
      <c r="M23" s="2" t="s">
        <v>287</v>
      </c>
      <c r="N23" s="3"/>
    </row>
    <row r="24" spans="11:14" x14ac:dyDescent="0.3">
      <c r="K24" s="126">
        <v>10832</v>
      </c>
      <c r="L24" s="2" t="s">
        <v>288</v>
      </c>
      <c r="M24" s="2" t="s">
        <v>272</v>
      </c>
      <c r="N24" s="3"/>
    </row>
    <row r="25" spans="11:14" x14ac:dyDescent="0.3">
      <c r="K25" s="126">
        <v>11355</v>
      </c>
      <c r="L25" s="2" t="s">
        <v>289</v>
      </c>
      <c r="M25" s="2" t="s">
        <v>290</v>
      </c>
      <c r="N25" s="3"/>
    </row>
    <row r="26" spans="11:14" x14ac:dyDescent="0.3">
      <c r="K26" s="126">
        <v>17145</v>
      </c>
      <c r="L26" s="2" t="s">
        <v>291</v>
      </c>
      <c r="M26" s="2" t="s">
        <v>290</v>
      </c>
      <c r="N26" s="3"/>
    </row>
    <row r="27" spans="11:14" x14ac:dyDescent="0.3">
      <c r="K27" s="126">
        <v>10206</v>
      </c>
      <c r="L27" s="2" t="s">
        <v>292</v>
      </c>
      <c r="M27" s="2" t="s">
        <v>272</v>
      </c>
      <c r="N27" s="3"/>
    </row>
    <row r="28" spans="11:14" x14ac:dyDescent="0.3">
      <c r="K28" s="126">
        <v>11745</v>
      </c>
      <c r="L28" s="2" t="s">
        <v>293</v>
      </c>
      <c r="M28" s="2" t="s">
        <v>272</v>
      </c>
      <c r="N28" s="3"/>
    </row>
    <row r="29" spans="11:14" x14ac:dyDescent="0.3">
      <c r="K29" s="126">
        <v>12959</v>
      </c>
      <c r="L29" s="2" t="s">
        <v>294</v>
      </c>
      <c r="M29" s="2" t="s">
        <v>295</v>
      </c>
      <c r="N29" s="3"/>
    </row>
    <row r="30" spans="11:14" x14ac:dyDescent="0.3">
      <c r="K30" s="126">
        <v>18833</v>
      </c>
      <c r="L30" s="2" t="s">
        <v>296</v>
      </c>
      <c r="M30" s="2" t="s">
        <v>272</v>
      </c>
      <c r="N30" s="3"/>
    </row>
    <row r="31" spans="11:14" x14ac:dyDescent="0.3">
      <c r="K31" s="126">
        <v>13355</v>
      </c>
      <c r="L31" s="2" t="s">
        <v>297</v>
      </c>
      <c r="M31" s="2" t="s">
        <v>272</v>
      </c>
      <c r="N31" s="3"/>
    </row>
    <row r="32" spans="11:14" x14ac:dyDescent="0.3">
      <c r="K32" s="126">
        <v>15334</v>
      </c>
      <c r="L32" s="2" t="s">
        <v>298</v>
      </c>
      <c r="M32" s="2" t="s">
        <v>272</v>
      </c>
      <c r="N32" s="3"/>
    </row>
    <row r="33" spans="11:14" x14ac:dyDescent="0.3">
      <c r="K33" s="126">
        <v>12078</v>
      </c>
      <c r="L33" s="2" t="s">
        <v>299</v>
      </c>
      <c r="M33" s="2" t="s">
        <v>272</v>
      </c>
      <c r="N33" s="3"/>
    </row>
    <row r="34" spans="11:14" x14ac:dyDescent="0.3">
      <c r="K34" s="126">
        <v>18247</v>
      </c>
      <c r="L34" s="2" t="s">
        <v>300</v>
      </c>
      <c r="M34" s="2" t="s">
        <v>301</v>
      </c>
      <c r="N34" s="3"/>
    </row>
    <row r="35" spans="11:14" x14ac:dyDescent="0.3">
      <c r="K35" s="126">
        <v>13203</v>
      </c>
      <c r="L35" s="2" t="s">
        <v>302</v>
      </c>
      <c r="M35" s="2" t="s">
        <v>272</v>
      </c>
      <c r="N35" s="3"/>
    </row>
    <row r="36" spans="11:14" x14ac:dyDescent="0.3">
      <c r="K36" s="126">
        <v>11850</v>
      </c>
      <c r="L36" s="2" t="s">
        <v>303</v>
      </c>
      <c r="M36" s="2" t="s">
        <v>272</v>
      </c>
      <c r="N36" s="3"/>
    </row>
    <row r="37" spans="11:14" x14ac:dyDescent="0.3">
      <c r="K37" s="126">
        <v>11412</v>
      </c>
      <c r="L37" s="2" t="s">
        <v>304</v>
      </c>
      <c r="M37" s="2" t="s">
        <v>272</v>
      </c>
      <c r="N37" s="3"/>
    </row>
    <row r="38" spans="11:14" x14ac:dyDescent="0.3">
      <c r="K38" s="126">
        <v>11895</v>
      </c>
      <c r="L38" s="2" t="s">
        <v>305</v>
      </c>
      <c r="M38" s="2" t="s">
        <v>272</v>
      </c>
      <c r="N38" s="3"/>
    </row>
    <row r="39" spans="11:14" ht="6.75" customHeight="1" x14ac:dyDescent="0.3">
      <c r="K39" s="126"/>
      <c r="L39" s="2"/>
      <c r="M39" s="2"/>
      <c r="N39" s="3"/>
    </row>
    <row r="40" spans="11:14" ht="10.5" thickBot="1" x14ac:dyDescent="0.35">
      <c r="K40" s="126"/>
      <c r="L40" s="127" t="s">
        <v>306</v>
      </c>
      <c r="M40" s="128">
        <f>SUM(M15:M39)</f>
        <v>0</v>
      </c>
      <c r="N40" s="3"/>
    </row>
    <row r="41" spans="11:14" ht="6" customHeight="1" thickTop="1" thickBot="1" x14ac:dyDescent="0.35">
      <c r="K41" s="6"/>
      <c r="L41" s="7"/>
      <c r="M41" s="7"/>
      <c r="N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FF00"/>
  </sheetPr>
  <dimension ref="I1:N26"/>
  <sheetViews>
    <sheetView topLeftCell="H12" zoomScaleNormal="100" workbookViewId="0">
      <selection activeCell="I16" sqref="I16:I25"/>
    </sheetView>
  </sheetViews>
  <sheetFormatPr defaultColWidth="9.33203125" defaultRowHeight="10.15" x14ac:dyDescent="0.3"/>
  <cols>
    <col min="1" max="8" width="9.33203125" style="131"/>
    <col min="9" max="9" width="13.83203125" style="131" bestFit="1" customWidth="1"/>
    <col min="10" max="10" width="9.33203125" style="131"/>
    <col min="11" max="11" width="16.83203125" style="131" customWidth="1"/>
    <col min="12" max="12" width="9.6640625" style="131" customWidth="1"/>
    <col min="13" max="13" width="21" style="131" bestFit="1" customWidth="1"/>
    <col min="14" max="14" width="1.83203125" style="131" customWidth="1"/>
    <col min="15" max="16384" width="9.33203125" style="131"/>
  </cols>
  <sheetData>
    <row r="1" spans="9:14" s="130" customFormat="1" ht="12.75" x14ac:dyDescent="0.35"/>
    <row r="11" spans="9:14" ht="10.5" thickBot="1" x14ac:dyDescent="0.35"/>
    <row r="12" spans="9:14" s="130" customFormat="1" ht="15" x14ac:dyDescent="0.35">
      <c r="K12" s="29" t="s">
        <v>308</v>
      </c>
      <c r="L12" s="49"/>
      <c r="M12" s="49" t="str">
        <f>kOrgName</f>
        <v>AbleOwl © 2024</v>
      </c>
      <c r="N12" s="106"/>
    </row>
    <row r="13" spans="9:14" s="130" customFormat="1" ht="15" x14ac:dyDescent="0.35">
      <c r="K13" s="32"/>
      <c r="L13" s="16"/>
      <c r="M13" s="16" t="str">
        <f ca="1">kNow</f>
        <v xml:space="preserve">13-Oct-2024 7:14 PM </v>
      </c>
      <c r="N13" s="107"/>
    </row>
    <row r="14" spans="9:14" s="130" customFormat="1" ht="13.15" x14ac:dyDescent="0.35">
      <c r="I14" s="176" t="s">
        <v>1552</v>
      </c>
      <c r="K14" s="50"/>
      <c r="L14" s="16"/>
      <c r="M14" s="16"/>
      <c r="N14" s="107"/>
    </row>
    <row r="15" spans="9:14" ht="10.5" thickBot="1" x14ac:dyDescent="0.35">
      <c r="K15" s="51" t="s">
        <v>309</v>
      </c>
      <c r="L15" s="52"/>
      <c r="M15" s="52" t="s">
        <v>310</v>
      </c>
      <c r="N15" s="53"/>
    </row>
    <row r="16" spans="9:14" x14ac:dyDescent="0.3">
      <c r="I16" s="177">
        <v>100211011</v>
      </c>
      <c r="K16" s="177">
        <v>100211011</v>
      </c>
      <c r="M16" s="131" t="s">
        <v>307</v>
      </c>
      <c r="N16" s="132"/>
    </row>
    <row r="17" spans="9:14" x14ac:dyDescent="0.3">
      <c r="I17" s="177">
        <v>100211012</v>
      </c>
      <c r="K17" s="177">
        <v>100211012</v>
      </c>
      <c r="N17" s="132"/>
    </row>
    <row r="18" spans="9:14" x14ac:dyDescent="0.3">
      <c r="I18" s="177">
        <v>100721011</v>
      </c>
      <c r="K18" s="177">
        <v>100721011</v>
      </c>
      <c r="N18" s="132"/>
    </row>
    <row r="19" spans="9:14" x14ac:dyDescent="0.3">
      <c r="I19" s="177">
        <v>100721013</v>
      </c>
      <c r="K19" s="177">
        <v>100721013</v>
      </c>
      <c r="N19" s="132"/>
    </row>
    <row r="20" spans="9:14" x14ac:dyDescent="0.3">
      <c r="I20" s="177">
        <v>101411001</v>
      </c>
      <c r="K20" s="177">
        <v>101411001</v>
      </c>
      <c r="N20" s="132"/>
    </row>
    <row r="21" spans="9:14" x14ac:dyDescent="0.3">
      <c r="I21" s="177">
        <v>101411002</v>
      </c>
      <c r="K21" s="177">
        <v>101411002</v>
      </c>
      <c r="N21" s="132"/>
    </row>
    <row r="22" spans="9:14" x14ac:dyDescent="0.3">
      <c r="I22" s="177">
        <v>101411003</v>
      </c>
      <c r="K22" s="177">
        <v>101411003</v>
      </c>
      <c r="N22" s="132"/>
    </row>
    <row r="23" spans="9:14" x14ac:dyDescent="0.3">
      <c r="I23" s="177">
        <v>110150010</v>
      </c>
      <c r="K23" s="177">
        <v>110150010</v>
      </c>
      <c r="N23" s="132"/>
    </row>
    <row r="24" spans="9:14" x14ac:dyDescent="0.3">
      <c r="I24" s="177">
        <v>110150012</v>
      </c>
      <c r="K24" s="177">
        <v>110150012</v>
      </c>
      <c r="N24" s="132"/>
    </row>
    <row r="25" spans="9:14" x14ac:dyDescent="0.3">
      <c r="I25" s="177">
        <v>200101180</v>
      </c>
      <c r="K25" s="177">
        <v>200101180</v>
      </c>
      <c r="N25" s="132"/>
    </row>
    <row r="26" spans="9:14" ht="6.75" customHeight="1" thickBot="1" x14ac:dyDescent="0.35">
      <c r="K26" s="135"/>
      <c r="L26" s="133"/>
      <c r="M26" s="133"/>
      <c r="N26" s="134"/>
    </row>
  </sheetData>
  <phoneticPr fontId="0" type="noConversion"/>
  <pageMargins left="0.55118110236220474" right="0.55118110236220474" top="0.59055118110236227" bottom="0.59055118110236227" header="0.39370078740157483" footer="0.39370078740157483"/>
  <pageSetup paperSize="9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BFBFBF"/>
  </sheetPr>
  <dimension ref="K10:T31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M16" sqref="M16:N21"/>
    </sheetView>
  </sheetViews>
  <sheetFormatPr defaultColWidth="9.33203125" defaultRowHeight="10.15" x14ac:dyDescent="0.3"/>
  <cols>
    <col min="1" max="10" width="9.33203125" style="10"/>
    <col min="11" max="11" width="15.4140625" style="10" bestFit="1" customWidth="1"/>
    <col min="12" max="12" width="6" style="10" bestFit="1" customWidth="1"/>
    <col min="13" max="13" width="18.33203125" style="10" customWidth="1"/>
    <col min="14" max="14" width="18.4140625" style="10" bestFit="1" customWidth="1"/>
    <col min="15" max="19" width="8.33203125" style="10" customWidth="1"/>
    <col min="20" max="20" width="1.83203125" style="10" customWidth="1"/>
    <col min="21" max="16384" width="9.33203125" style="10"/>
  </cols>
  <sheetData>
    <row r="10" spans="11:20" ht="10.5" thickBot="1" x14ac:dyDescent="0.35"/>
    <row r="11" spans="11:20" ht="15" x14ac:dyDescent="0.3">
      <c r="K11" s="83" t="s">
        <v>311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3.15" x14ac:dyDescent="0.3">
      <c r="K12" s="73" t="s">
        <v>313</v>
      </c>
      <c r="L12" s="15"/>
      <c r="M12" s="16" t="str">
        <f ca="1">kNow</f>
        <v xml:space="preserve">13-Oct-2024 7:14 PM </v>
      </c>
      <c r="N12" s="15"/>
      <c r="O12" s="15"/>
      <c r="P12" s="15"/>
      <c r="Q12" s="15"/>
      <c r="R12" s="15"/>
      <c r="S12" s="15"/>
      <c r="T12" s="17"/>
    </row>
    <row r="13" spans="11:20" ht="13.15" x14ac:dyDescent="0.3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0.5" thickBot="1" x14ac:dyDescent="0.35">
      <c r="K14" s="136" t="s">
        <v>314</v>
      </c>
      <c r="L14" s="20" t="s">
        <v>237</v>
      </c>
      <c r="M14" s="20" t="s">
        <v>235</v>
      </c>
      <c r="N14" s="20" t="s">
        <v>238</v>
      </c>
      <c r="O14" s="20" t="s">
        <v>183</v>
      </c>
      <c r="P14" s="20" t="s">
        <v>184</v>
      </c>
      <c r="Q14" s="20" t="s">
        <v>185</v>
      </c>
      <c r="R14" s="20" t="s">
        <v>186</v>
      </c>
      <c r="S14" s="20" t="s">
        <v>315</v>
      </c>
      <c r="T14" s="21"/>
    </row>
    <row r="15" spans="11:20" x14ac:dyDescent="0.3">
      <c r="K15" s="85" t="s">
        <v>240</v>
      </c>
      <c r="L15" s="23" t="s">
        <v>241</v>
      </c>
      <c r="M15" s="23" t="s">
        <v>239</v>
      </c>
      <c r="N15" s="23" t="s">
        <v>246</v>
      </c>
      <c r="O15" s="137">
        <v>11490</v>
      </c>
      <c r="P15" s="137">
        <v>780</v>
      </c>
      <c r="Q15" s="137">
        <v>910</v>
      </c>
      <c r="R15" s="137">
        <v>2230</v>
      </c>
      <c r="S15" s="137">
        <v>15410</v>
      </c>
      <c r="T15" s="24"/>
    </row>
    <row r="16" spans="11:20" x14ac:dyDescent="0.3">
      <c r="K16" s="85" t="s">
        <v>244</v>
      </c>
      <c r="L16" s="23" t="s">
        <v>245</v>
      </c>
      <c r="M16" s="23" t="s">
        <v>239</v>
      </c>
      <c r="N16" s="23" t="s">
        <v>242</v>
      </c>
      <c r="O16" s="137">
        <v>7260</v>
      </c>
      <c r="P16" s="137">
        <v>2750</v>
      </c>
      <c r="Q16" s="137">
        <v>2770</v>
      </c>
      <c r="R16" s="137">
        <v>7490</v>
      </c>
      <c r="S16" s="137">
        <v>20270</v>
      </c>
      <c r="T16" s="24"/>
    </row>
    <row r="17" spans="11:20" x14ac:dyDescent="0.3">
      <c r="K17" s="85" t="s">
        <v>244</v>
      </c>
      <c r="L17" s="23" t="s">
        <v>245</v>
      </c>
      <c r="M17" s="23" t="s">
        <v>239</v>
      </c>
      <c r="N17" s="23" t="s">
        <v>246</v>
      </c>
      <c r="O17" s="137">
        <v>4540</v>
      </c>
      <c r="P17" s="137">
        <v>1420</v>
      </c>
      <c r="Q17" s="137">
        <v>2860</v>
      </c>
      <c r="R17" s="137">
        <v>29890</v>
      </c>
      <c r="S17" s="137">
        <v>38710</v>
      </c>
      <c r="T17" s="24"/>
    </row>
    <row r="18" spans="11:20" x14ac:dyDescent="0.3">
      <c r="K18" s="85" t="s">
        <v>240</v>
      </c>
      <c r="L18" s="23" t="s">
        <v>245</v>
      </c>
      <c r="M18" s="23" t="s">
        <v>239</v>
      </c>
      <c r="N18" s="23" t="s">
        <v>246</v>
      </c>
      <c r="O18" s="137">
        <v>17880</v>
      </c>
      <c r="P18" s="137">
        <v>920</v>
      </c>
      <c r="Q18" s="137">
        <v>2970</v>
      </c>
      <c r="R18" s="137">
        <v>4240</v>
      </c>
      <c r="S18" s="137">
        <v>26010</v>
      </c>
      <c r="T18" s="24"/>
    </row>
    <row r="19" spans="11:20" x14ac:dyDescent="0.3">
      <c r="K19" s="85" t="s">
        <v>240</v>
      </c>
      <c r="L19" s="23" t="s">
        <v>245</v>
      </c>
      <c r="M19" s="23" t="s">
        <v>239</v>
      </c>
      <c r="N19" s="23" t="s">
        <v>242</v>
      </c>
      <c r="O19" s="137">
        <v>2280</v>
      </c>
      <c r="P19" s="137">
        <v>850</v>
      </c>
      <c r="Q19" s="137">
        <v>7710</v>
      </c>
      <c r="R19" s="137">
        <v>1530</v>
      </c>
      <c r="S19" s="137">
        <v>12370</v>
      </c>
      <c r="T19" s="24"/>
    </row>
    <row r="20" spans="11:20" x14ac:dyDescent="0.3">
      <c r="K20" s="85" t="s">
        <v>240</v>
      </c>
      <c r="L20" s="23" t="s">
        <v>245</v>
      </c>
      <c r="M20" s="23" t="s">
        <v>243</v>
      </c>
      <c r="N20" s="23" t="s">
        <v>242</v>
      </c>
      <c r="O20" s="137">
        <v>4390</v>
      </c>
      <c r="P20" s="137">
        <v>9770</v>
      </c>
      <c r="Q20" s="137">
        <v>8500</v>
      </c>
      <c r="R20" s="137">
        <v>3540</v>
      </c>
      <c r="S20" s="137">
        <v>26200</v>
      </c>
      <c r="T20" s="24"/>
    </row>
    <row r="21" spans="11:20" x14ac:dyDescent="0.3">
      <c r="K21" s="85" t="s">
        <v>244</v>
      </c>
      <c r="L21" s="23" t="s">
        <v>241</v>
      </c>
      <c r="M21" s="23" t="s">
        <v>239</v>
      </c>
      <c r="N21" s="23" t="s">
        <v>246</v>
      </c>
      <c r="O21" s="137">
        <v>5600</v>
      </c>
      <c r="P21" s="137">
        <v>8570</v>
      </c>
      <c r="Q21" s="137">
        <v>9780</v>
      </c>
      <c r="R21" s="137">
        <v>3990</v>
      </c>
      <c r="S21" s="137">
        <v>27940</v>
      </c>
      <c r="T21" s="24"/>
    </row>
    <row r="22" spans="11:20" x14ac:dyDescent="0.3">
      <c r="K22" s="85" t="s">
        <v>240</v>
      </c>
      <c r="L22" s="23" t="s">
        <v>241</v>
      </c>
      <c r="M22" s="23" t="s">
        <v>243</v>
      </c>
      <c r="N22" s="23" t="s">
        <v>246</v>
      </c>
      <c r="O22" s="137">
        <v>12420</v>
      </c>
      <c r="P22" s="137">
        <v>10610</v>
      </c>
      <c r="Q22" s="137">
        <v>10050</v>
      </c>
      <c r="R22" s="137">
        <v>8820</v>
      </c>
      <c r="S22" s="137">
        <v>41900</v>
      </c>
      <c r="T22" s="24"/>
    </row>
    <row r="23" spans="11:20" x14ac:dyDescent="0.3">
      <c r="K23" s="85" t="s">
        <v>244</v>
      </c>
      <c r="L23" s="23" t="s">
        <v>241</v>
      </c>
      <c r="M23" s="23" t="s">
        <v>243</v>
      </c>
      <c r="N23" s="23" t="s">
        <v>246</v>
      </c>
      <c r="O23" s="137">
        <v>9560</v>
      </c>
      <c r="P23" s="137">
        <v>11630</v>
      </c>
      <c r="Q23" s="137">
        <v>12530</v>
      </c>
      <c r="R23" s="137">
        <v>13220</v>
      </c>
      <c r="S23" s="137">
        <v>46940</v>
      </c>
      <c r="T23" s="24"/>
    </row>
    <row r="24" spans="11:20" x14ac:dyDescent="0.3">
      <c r="K24" s="85" t="s">
        <v>240</v>
      </c>
      <c r="L24" s="23" t="s">
        <v>241</v>
      </c>
      <c r="M24" s="23" t="s">
        <v>239</v>
      </c>
      <c r="N24" s="23" t="s">
        <v>242</v>
      </c>
      <c r="O24" s="137">
        <v>4620</v>
      </c>
      <c r="P24" s="137">
        <v>2680</v>
      </c>
      <c r="Q24" s="137">
        <v>13090</v>
      </c>
      <c r="R24" s="137">
        <v>6620</v>
      </c>
      <c r="S24" s="137">
        <v>27010</v>
      </c>
      <c r="T24" s="24"/>
    </row>
    <row r="25" spans="11:20" x14ac:dyDescent="0.3">
      <c r="K25" s="85" t="s">
        <v>244</v>
      </c>
      <c r="L25" s="23" t="s">
        <v>241</v>
      </c>
      <c r="M25" s="23" t="s">
        <v>239</v>
      </c>
      <c r="N25" s="23" t="s">
        <v>242</v>
      </c>
      <c r="O25" s="137">
        <v>3860</v>
      </c>
      <c r="P25" s="137">
        <v>9990</v>
      </c>
      <c r="Q25" s="137">
        <v>13880</v>
      </c>
      <c r="R25" s="137">
        <v>25920</v>
      </c>
      <c r="S25" s="137">
        <v>53650</v>
      </c>
      <c r="T25" s="24"/>
    </row>
    <row r="26" spans="11:20" x14ac:dyDescent="0.3">
      <c r="K26" s="85" t="s">
        <v>240</v>
      </c>
      <c r="L26" s="23" t="s">
        <v>245</v>
      </c>
      <c r="M26" s="23" t="s">
        <v>243</v>
      </c>
      <c r="N26" s="23" t="s">
        <v>246</v>
      </c>
      <c r="O26" s="137">
        <v>30030</v>
      </c>
      <c r="P26" s="137">
        <v>7520</v>
      </c>
      <c r="Q26" s="137">
        <v>13890</v>
      </c>
      <c r="R26" s="137">
        <v>7730</v>
      </c>
      <c r="S26" s="137">
        <v>59170</v>
      </c>
      <c r="T26" s="24"/>
    </row>
    <row r="27" spans="11:20" x14ac:dyDescent="0.3">
      <c r="K27" s="85" t="s">
        <v>244</v>
      </c>
      <c r="L27" s="23" t="s">
        <v>245</v>
      </c>
      <c r="M27" s="23" t="s">
        <v>243</v>
      </c>
      <c r="N27" s="23" t="s">
        <v>246</v>
      </c>
      <c r="O27" s="137">
        <v>5790</v>
      </c>
      <c r="P27" s="137">
        <v>14110</v>
      </c>
      <c r="Q27" s="137">
        <v>19040</v>
      </c>
      <c r="R27" s="137">
        <v>31690</v>
      </c>
      <c r="S27" s="137">
        <v>70630</v>
      </c>
      <c r="T27" s="24"/>
    </row>
    <row r="28" spans="11:20" x14ac:dyDescent="0.3">
      <c r="K28" s="85" t="s">
        <v>240</v>
      </c>
      <c r="L28" s="23" t="s">
        <v>241</v>
      </c>
      <c r="M28" s="23" t="s">
        <v>243</v>
      </c>
      <c r="N28" s="23" t="s">
        <v>242</v>
      </c>
      <c r="O28" s="137">
        <v>10950</v>
      </c>
      <c r="P28" s="137">
        <v>7690</v>
      </c>
      <c r="Q28" s="137">
        <v>26560</v>
      </c>
      <c r="R28" s="137">
        <v>10780</v>
      </c>
      <c r="S28" s="137">
        <v>55980</v>
      </c>
      <c r="T28" s="24"/>
    </row>
    <row r="29" spans="11:20" x14ac:dyDescent="0.3">
      <c r="K29" s="85" t="s">
        <v>244</v>
      </c>
      <c r="L29" s="23" t="s">
        <v>245</v>
      </c>
      <c r="M29" s="23" t="s">
        <v>243</v>
      </c>
      <c r="N29" s="23" t="s">
        <v>242</v>
      </c>
      <c r="O29" s="137">
        <v>18130</v>
      </c>
      <c r="P29" s="137">
        <v>4260</v>
      </c>
      <c r="Q29" s="137">
        <v>36250</v>
      </c>
      <c r="R29" s="137">
        <v>15720</v>
      </c>
      <c r="S29" s="137">
        <v>74360</v>
      </c>
      <c r="T29" s="24"/>
    </row>
    <row r="30" spans="11:20" x14ac:dyDescent="0.3">
      <c r="K30" s="85" t="s">
        <v>244</v>
      </c>
      <c r="L30" s="23" t="s">
        <v>241</v>
      </c>
      <c r="M30" s="23" t="s">
        <v>243</v>
      </c>
      <c r="N30" s="23" t="s">
        <v>242</v>
      </c>
      <c r="O30" s="137">
        <v>8110</v>
      </c>
      <c r="P30" s="137">
        <v>12300</v>
      </c>
      <c r="Q30" s="137">
        <v>65790</v>
      </c>
      <c r="R30" s="137">
        <v>31860</v>
      </c>
      <c r="S30" s="137">
        <v>118060</v>
      </c>
      <c r="T30" s="24"/>
    </row>
    <row r="31" spans="11:20" ht="6" customHeight="1" thickBot="1" x14ac:dyDescent="0.35">
      <c r="K31" s="26"/>
      <c r="L31" s="27"/>
      <c r="M31" s="27"/>
      <c r="N31" s="27"/>
      <c r="O31" s="27"/>
      <c r="P31" s="27"/>
      <c r="Q31" s="27"/>
      <c r="R31" s="27"/>
      <c r="S31" s="27"/>
      <c r="T3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BFBFBF"/>
  </sheetPr>
  <dimension ref="K10:M27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R47" sqref="R47"/>
    </sheetView>
  </sheetViews>
  <sheetFormatPr defaultColWidth="9.33203125" defaultRowHeight="10.15" x14ac:dyDescent="0.3"/>
  <cols>
    <col min="1" max="10" width="9.33203125" style="10"/>
    <col min="11" max="11" width="16.1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0.5" thickBot="1" x14ac:dyDescent="0.35"/>
    <row r="11" spans="11:13" ht="15" x14ac:dyDescent="0.3">
      <c r="K11" s="83" t="s">
        <v>311</v>
      </c>
      <c r="L11" s="12"/>
      <c r="M11" s="13"/>
    </row>
    <row r="12" spans="11:13" ht="13.15" x14ac:dyDescent="0.3">
      <c r="K12" s="73" t="s">
        <v>312</v>
      </c>
      <c r="L12" s="15"/>
      <c r="M12" s="17"/>
    </row>
    <row r="13" spans="11:13" ht="13.15" x14ac:dyDescent="0.3">
      <c r="K13" s="18"/>
      <c r="L13" s="15"/>
      <c r="M13" s="17"/>
    </row>
    <row r="14" spans="11:13" ht="10.5" thickBot="1" x14ac:dyDescent="0.35">
      <c r="K14" s="136"/>
      <c r="L14" s="20"/>
      <c r="M14" s="21"/>
    </row>
    <row r="15" spans="11:13" x14ac:dyDescent="0.3">
      <c r="K15" s="85" t="s">
        <v>214</v>
      </c>
      <c r="L15" s="23">
        <v>123</v>
      </c>
      <c r="M15" s="24"/>
    </row>
    <row r="16" spans="11:13" x14ac:dyDescent="0.3">
      <c r="K16" s="85" t="s">
        <v>215</v>
      </c>
      <c r="L16" s="23">
        <v>545</v>
      </c>
      <c r="M16" s="24"/>
    </row>
    <row r="17" spans="11:13" x14ac:dyDescent="0.3">
      <c r="K17" s="85" t="s">
        <v>212</v>
      </c>
      <c r="L17" s="23">
        <v>332</v>
      </c>
      <c r="M17" s="24"/>
    </row>
    <row r="18" spans="11:13" x14ac:dyDescent="0.3">
      <c r="K18" s="85" t="s">
        <v>213</v>
      </c>
      <c r="L18" s="23">
        <v>443</v>
      </c>
      <c r="M18" s="24"/>
    </row>
    <row r="19" spans="11:13" x14ac:dyDescent="0.3">
      <c r="K19" s="85" t="s">
        <v>219</v>
      </c>
      <c r="L19" s="23">
        <v>554</v>
      </c>
      <c r="M19" s="24"/>
    </row>
    <row r="20" spans="11:13" x14ac:dyDescent="0.3">
      <c r="K20" s="85" t="s">
        <v>220</v>
      </c>
      <c r="L20" s="23">
        <v>653</v>
      </c>
      <c r="M20" s="24"/>
    </row>
    <row r="21" spans="11:13" x14ac:dyDescent="0.3">
      <c r="K21" s="85" t="s">
        <v>223</v>
      </c>
      <c r="L21" s="23">
        <v>234</v>
      </c>
      <c r="M21" s="24"/>
    </row>
    <row r="22" spans="11:13" x14ac:dyDescent="0.3">
      <c r="K22" s="85" t="s">
        <v>217</v>
      </c>
      <c r="L22" s="23">
        <v>653</v>
      </c>
      <c r="M22" s="24"/>
    </row>
    <row r="23" spans="11:13" x14ac:dyDescent="0.3">
      <c r="K23" s="85" t="s">
        <v>222</v>
      </c>
      <c r="L23" s="23">
        <v>145</v>
      </c>
      <c r="M23" s="24"/>
    </row>
    <row r="24" spans="11:13" x14ac:dyDescent="0.3">
      <c r="K24" s="85" t="s">
        <v>218</v>
      </c>
      <c r="L24" s="23">
        <v>856</v>
      </c>
      <c r="M24" s="24"/>
    </row>
    <row r="25" spans="11:13" x14ac:dyDescent="0.3">
      <c r="K25" s="85" t="s">
        <v>216</v>
      </c>
      <c r="L25" s="23">
        <v>895</v>
      </c>
      <c r="M25" s="24"/>
    </row>
    <row r="26" spans="11:13" x14ac:dyDescent="0.3">
      <c r="K26" s="85" t="s">
        <v>221</v>
      </c>
      <c r="L26" s="23">
        <v>935</v>
      </c>
      <c r="M26" s="24"/>
    </row>
    <row r="27" spans="11:13" ht="6" customHeight="1" thickBot="1" x14ac:dyDescent="0.35">
      <c r="K27" s="26"/>
      <c r="L27" s="27"/>
      <c r="M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BFBFBF"/>
  </sheetPr>
  <dimension ref="K10:M54"/>
  <sheetViews>
    <sheetView showOutlineSymbols="0" topLeftCell="K11" zoomScaleNormal="100" workbookViewId="0">
      <pane xSplit="1" ySplit="4" topLeftCell="L16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AA55" sqref="AA55"/>
    </sheetView>
  </sheetViews>
  <sheetFormatPr defaultColWidth="9.33203125" defaultRowHeight="10.15" x14ac:dyDescent="0.3"/>
  <cols>
    <col min="1" max="10" width="9.33203125" style="10"/>
    <col min="11" max="11" width="18.6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0.5" thickBot="1" x14ac:dyDescent="0.35"/>
    <row r="11" spans="11:13" ht="15" x14ac:dyDescent="0.3">
      <c r="K11" s="83" t="s">
        <v>311</v>
      </c>
      <c r="L11" s="12"/>
      <c r="M11" s="13"/>
    </row>
    <row r="12" spans="11:13" ht="13.15" x14ac:dyDescent="0.3">
      <c r="K12" s="73" t="s">
        <v>316</v>
      </c>
      <c r="L12" s="15"/>
      <c r="M12" s="17"/>
    </row>
    <row r="13" spans="11:13" ht="13.15" x14ac:dyDescent="0.3">
      <c r="K13" s="18"/>
      <c r="L13" s="15"/>
      <c r="M13" s="17"/>
    </row>
    <row r="14" spans="11:13" ht="10.5" thickBot="1" x14ac:dyDescent="0.35">
      <c r="K14" s="136"/>
      <c r="L14" s="20"/>
      <c r="M14" s="21"/>
    </row>
    <row r="15" spans="11:13" x14ac:dyDescent="0.3">
      <c r="K15" s="85" t="s">
        <v>317</v>
      </c>
      <c r="L15" s="23"/>
      <c r="M15" s="24"/>
    </row>
    <row r="16" spans="11:13" x14ac:dyDescent="0.3">
      <c r="K16" s="85" t="s">
        <v>318</v>
      </c>
      <c r="L16" s="23"/>
      <c r="M16" s="24"/>
    </row>
    <row r="17" spans="11:13" x14ac:dyDescent="0.3">
      <c r="K17" s="85" t="s">
        <v>319</v>
      </c>
      <c r="L17" s="23"/>
      <c r="M17" s="24"/>
    </row>
    <row r="18" spans="11:13" x14ac:dyDescent="0.3">
      <c r="K18" s="85" t="s">
        <v>320</v>
      </c>
      <c r="L18" s="23"/>
      <c r="M18" s="24"/>
    </row>
    <row r="19" spans="11:13" x14ac:dyDescent="0.3">
      <c r="K19" s="85" t="s">
        <v>321</v>
      </c>
      <c r="L19" s="23"/>
      <c r="M19" s="24"/>
    </row>
    <row r="20" spans="11:13" x14ac:dyDescent="0.3">
      <c r="K20" s="85" t="s">
        <v>322</v>
      </c>
      <c r="L20" s="23"/>
      <c r="M20" s="24"/>
    </row>
    <row r="21" spans="11:13" x14ac:dyDescent="0.3">
      <c r="K21" s="85" t="s">
        <v>323</v>
      </c>
      <c r="L21" s="23"/>
      <c r="M21" s="24"/>
    </row>
    <row r="22" spans="11:13" x14ac:dyDescent="0.3">
      <c r="K22" s="85" t="s">
        <v>324</v>
      </c>
      <c r="L22" s="23"/>
      <c r="M22" s="24"/>
    </row>
    <row r="23" spans="11:13" x14ac:dyDescent="0.3">
      <c r="K23" s="85" t="s">
        <v>325</v>
      </c>
      <c r="L23" s="23"/>
      <c r="M23" s="24"/>
    </row>
    <row r="24" spans="11:13" x14ac:dyDescent="0.3">
      <c r="K24" s="85" t="s">
        <v>326</v>
      </c>
      <c r="L24" s="23"/>
      <c r="M24" s="24"/>
    </row>
    <row r="25" spans="11:13" x14ac:dyDescent="0.3">
      <c r="K25" s="85" t="s">
        <v>327</v>
      </c>
      <c r="L25" s="23"/>
      <c r="M25" s="24"/>
    </row>
    <row r="26" spans="11:13" x14ac:dyDescent="0.3">
      <c r="K26" s="85" t="s">
        <v>328</v>
      </c>
      <c r="L26" s="23"/>
      <c r="M26" s="24"/>
    </row>
    <row r="27" spans="11:13" x14ac:dyDescent="0.3">
      <c r="K27" s="85" t="s">
        <v>329</v>
      </c>
      <c r="L27" s="23"/>
      <c r="M27" s="24"/>
    </row>
    <row r="28" spans="11:13" x14ac:dyDescent="0.3">
      <c r="K28" s="85" t="s">
        <v>330</v>
      </c>
      <c r="L28" s="23"/>
      <c r="M28" s="24"/>
    </row>
    <row r="29" spans="11:13" x14ac:dyDescent="0.3">
      <c r="K29" s="85" t="s">
        <v>331</v>
      </c>
      <c r="L29" s="23"/>
      <c r="M29" s="24"/>
    </row>
    <row r="30" spans="11:13" x14ac:dyDescent="0.3">
      <c r="K30" s="85" t="s">
        <v>332</v>
      </c>
      <c r="L30" s="23"/>
      <c r="M30" s="24"/>
    </row>
    <row r="31" spans="11:13" x14ac:dyDescent="0.3">
      <c r="K31" s="85" t="s">
        <v>333</v>
      </c>
      <c r="L31" s="23"/>
      <c r="M31" s="24"/>
    </row>
    <row r="32" spans="11:13" x14ac:dyDescent="0.3">
      <c r="K32" s="85" t="s">
        <v>334</v>
      </c>
      <c r="L32" s="23"/>
      <c r="M32" s="24"/>
    </row>
    <row r="33" spans="11:13" x14ac:dyDescent="0.3">
      <c r="K33" s="85" t="s">
        <v>335</v>
      </c>
      <c r="L33" s="23"/>
      <c r="M33" s="24"/>
    </row>
    <row r="34" spans="11:13" x14ac:dyDescent="0.3">
      <c r="K34" s="85" t="s">
        <v>336</v>
      </c>
      <c r="L34" s="23"/>
      <c r="M34" s="24"/>
    </row>
    <row r="35" spans="11:13" x14ac:dyDescent="0.3">
      <c r="K35" s="85" t="s">
        <v>337</v>
      </c>
      <c r="L35" s="23"/>
      <c r="M35" s="24"/>
    </row>
    <row r="36" spans="11:13" x14ac:dyDescent="0.3">
      <c r="K36" s="85" t="s">
        <v>338</v>
      </c>
      <c r="L36" s="23"/>
      <c r="M36" s="24"/>
    </row>
    <row r="37" spans="11:13" x14ac:dyDescent="0.3">
      <c r="K37" s="85" t="s">
        <v>339</v>
      </c>
      <c r="L37" s="23"/>
      <c r="M37" s="24"/>
    </row>
    <row r="38" spans="11:13" x14ac:dyDescent="0.3">
      <c r="K38" s="85" t="s">
        <v>340</v>
      </c>
      <c r="L38" s="23"/>
      <c r="M38" s="24"/>
    </row>
    <row r="39" spans="11:13" x14ac:dyDescent="0.3">
      <c r="K39" s="85" t="s">
        <v>341</v>
      </c>
      <c r="L39" s="23"/>
      <c r="M39" s="24"/>
    </row>
    <row r="40" spans="11:13" x14ac:dyDescent="0.3">
      <c r="K40" s="85" t="s">
        <v>333</v>
      </c>
      <c r="L40" s="23"/>
      <c r="M40" s="24"/>
    </row>
    <row r="41" spans="11:13" x14ac:dyDescent="0.3">
      <c r="K41" s="85" t="s">
        <v>342</v>
      </c>
      <c r="L41" s="23"/>
      <c r="M41" s="24"/>
    </row>
    <row r="42" spans="11:13" x14ac:dyDescent="0.3">
      <c r="K42" s="85" t="s">
        <v>343</v>
      </c>
      <c r="L42" s="23"/>
      <c r="M42" s="24"/>
    </row>
    <row r="43" spans="11:13" x14ac:dyDescent="0.3">
      <c r="K43" s="85" t="s">
        <v>344</v>
      </c>
      <c r="L43" s="23"/>
      <c r="M43" s="24"/>
    </row>
    <row r="44" spans="11:13" x14ac:dyDescent="0.3">
      <c r="K44" s="85" t="s">
        <v>345</v>
      </c>
      <c r="L44" s="23"/>
      <c r="M44" s="24"/>
    </row>
    <row r="45" spans="11:13" x14ac:dyDescent="0.3">
      <c r="K45" s="85" t="s">
        <v>344</v>
      </c>
      <c r="L45" s="23"/>
      <c r="M45" s="24"/>
    </row>
    <row r="46" spans="11:13" x14ac:dyDescent="0.3">
      <c r="K46" s="85" t="s">
        <v>346</v>
      </c>
      <c r="L46" s="23"/>
      <c r="M46" s="24"/>
    </row>
    <row r="47" spans="11:13" x14ac:dyDescent="0.3">
      <c r="K47" s="85" t="s">
        <v>347</v>
      </c>
      <c r="L47" s="23"/>
      <c r="M47" s="24"/>
    </row>
    <row r="48" spans="11:13" x14ac:dyDescent="0.3">
      <c r="K48" s="85" t="s">
        <v>348</v>
      </c>
      <c r="L48" s="23"/>
      <c r="M48" s="24"/>
    </row>
    <row r="49" spans="11:13" x14ac:dyDescent="0.3">
      <c r="K49" s="85" t="s">
        <v>349</v>
      </c>
      <c r="L49" s="23"/>
      <c r="M49" s="24"/>
    </row>
    <row r="50" spans="11:13" x14ac:dyDescent="0.3">
      <c r="K50" s="85" t="s">
        <v>350</v>
      </c>
      <c r="L50" s="23"/>
      <c r="M50" s="24"/>
    </row>
    <row r="51" spans="11:13" x14ac:dyDescent="0.3">
      <c r="K51" s="85" t="s">
        <v>351</v>
      </c>
      <c r="L51" s="23"/>
      <c r="M51" s="24"/>
    </row>
    <row r="52" spans="11:13" x14ac:dyDescent="0.3">
      <c r="K52" s="85" t="s">
        <v>352</v>
      </c>
      <c r="L52" s="23"/>
      <c r="M52" s="24"/>
    </row>
    <row r="53" spans="11:13" x14ac:dyDescent="0.3">
      <c r="K53" s="85" t="s">
        <v>353</v>
      </c>
      <c r="L53" s="23"/>
      <c r="M53" s="24"/>
    </row>
    <row r="54" spans="11:13" ht="6" customHeight="1" thickBot="1" x14ac:dyDescent="0.35">
      <c r="K54" s="26"/>
      <c r="L54" s="27"/>
      <c r="M5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indexed="13"/>
  </sheetPr>
  <dimension ref="A1:K1076"/>
  <sheetViews>
    <sheetView zoomScaleNormal="100" zoomScaleSheetLayoutView="100" workbookViewId="0">
      <pane xSplit="1" ySplit="4" topLeftCell="B28" activePane="bottomRight" state="frozen"/>
      <selection pane="topRight" activeCell="B1" sqref="B1"/>
      <selection pane="bottomLeft" activeCell="A5" sqref="A5"/>
      <selection pane="bottomRight" activeCell="O56" sqref="O56"/>
    </sheetView>
  </sheetViews>
  <sheetFormatPr defaultRowHeight="10.15" x14ac:dyDescent="0.3"/>
  <cols>
    <col min="1" max="1" width="23.83203125" bestFit="1" customWidth="1"/>
    <col min="2" max="2" width="7.6640625" customWidth="1"/>
    <col min="3" max="3" width="9.4140625" bestFit="1" customWidth="1"/>
    <col min="4" max="4" width="12.6640625" bestFit="1" customWidth="1"/>
    <col min="5" max="5" width="6.33203125" customWidth="1"/>
    <col min="6" max="10" width="7" customWidth="1"/>
    <col min="11" max="11" width="1.83203125" customWidth="1"/>
  </cols>
  <sheetData>
    <row r="1" spans="1:11" ht="15" x14ac:dyDescent="0.4">
      <c r="A1" s="142" t="s">
        <v>354</v>
      </c>
      <c r="B1" s="30" t="str">
        <f>kOrgName</f>
        <v>AbleOwl © 2024</v>
      </c>
      <c r="C1" s="30"/>
      <c r="D1" s="30"/>
      <c r="E1" s="30"/>
      <c r="F1" s="30"/>
      <c r="G1" s="30"/>
      <c r="H1" s="30"/>
      <c r="I1" s="30"/>
      <c r="J1" s="30"/>
      <c r="K1" s="31"/>
    </row>
    <row r="2" spans="1:11" ht="13.15" x14ac:dyDescent="0.4">
      <c r="A2" s="143"/>
      <c r="B2" s="33" t="str">
        <f ca="1">kNow</f>
        <v xml:space="preserve">13-Oct-2024 7:14 PM </v>
      </c>
      <c r="C2" s="33"/>
      <c r="D2" s="33"/>
      <c r="E2" s="33"/>
      <c r="F2" s="33"/>
      <c r="G2" s="33"/>
      <c r="H2" s="33"/>
      <c r="I2" s="33"/>
      <c r="J2" s="33"/>
      <c r="K2" s="34"/>
    </row>
    <row r="3" spans="1:11" x14ac:dyDescent="0.3">
      <c r="A3" s="144"/>
      <c r="B3" s="145" t="s">
        <v>355</v>
      </c>
      <c r="C3" s="146"/>
      <c r="D3" s="146"/>
      <c r="E3" s="146"/>
      <c r="F3" s="145" t="s">
        <v>356</v>
      </c>
      <c r="G3" s="146"/>
      <c r="H3" s="146"/>
      <c r="I3" s="146"/>
      <c r="J3" s="145"/>
      <c r="K3" s="34"/>
    </row>
    <row r="4" spans="1:11" ht="10.5" thickBot="1" x14ac:dyDescent="0.35">
      <c r="A4" s="147" t="s">
        <v>1</v>
      </c>
      <c r="B4" s="148" t="s">
        <v>357</v>
      </c>
      <c r="C4" s="149" t="s">
        <v>180</v>
      </c>
      <c r="D4" s="149" t="s">
        <v>181</v>
      </c>
      <c r="E4" s="149" t="s">
        <v>358</v>
      </c>
      <c r="F4" s="148" t="s">
        <v>190</v>
      </c>
      <c r="G4" s="149" t="s">
        <v>192</v>
      </c>
      <c r="H4" s="149" t="s">
        <v>191</v>
      </c>
      <c r="I4" s="149" t="s">
        <v>193</v>
      </c>
      <c r="J4" s="149" t="s">
        <v>187</v>
      </c>
      <c r="K4" s="150"/>
    </row>
    <row r="5" spans="1:11" x14ac:dyDescent="0.3">
      <c r="A5" s="4" t="s">
        <v>359</v>
      </c>
      <c r="B5" s="138" t="s">
        <v>360</v>
      </c>
      <c r="C5" s="2" t="s">
        <v>202</v>
      </c>
      <c r="D5" s="2" t="s">
        <v>204</v>
      </c>
      <c r="E5" s="2" t="s">
        <v>361</v>
      </c>
      <c r="F5" s="139">
        <v>3</v>
      </c>
      <c r="G5" s="140">
        <v>0</v>
      </c>
      <c r="H5" s="140">
        <v>0</v>
      </c>
      <c r="I5" s="140">
        <v>0</v>
      </c>
      <c r="J5" s="140">
        <f t="shared" ref="J5:J68" si="0">SUM(F5:I5)</f>
        <v>3</v>
      </c>
      <c r="K5" s="3"/>
    </row>
    <row r="6" spans="1:11" x14ac:dyDescent="0.3">
      <c r="A6" s="4" t="s">
        <v>362</v>
      </c>
      <c r="B6" s="138" t="s">
        <v>363</v>
      </c>
      <c r="C6" s="2" t="s">
        <v>198</v>
      </c>
      <c r="D6" s="2" t="s">
        <v>199</v>
      </c>
      <c r="E6" s="2" t="s">
        <v>364</v>
      </c>
      <c r="F6" s="139">
        <v>2</v>
      </c>
      <c r="G6" s="140">
        <v>0</v>
      </c>
      <c r="H6" s="140">
        <v>0</v>
      </c>
      <c r="I6" s="140">
        <v>0</v>
      </c>
      <c r="J6" s="140">
        <f t="shared" si="0"/>
        <v>2</v>
      </c>
      <c r="K6" s="3"/>
    </row>
    <row r="7" spans="1:11" x14ac:dyDescent="0.3">
      <c r="A7" s="4" t="s">
        <v>365</v>
      </c>
      <c r="B7" s="138" t="s">
        <v>360</v>
      </c>
      <c r="C7" s="2" t="s">
        <v>202</v>
      </c>
      <c r="D7" s="2" t="s">
        <v>204</v>
      </c>
      <c r="E7" s="2" t="s">
        <v>366</v>
      </c>
      <c r="F7" s="139">
        <v>1</v>
      </c>
      <c r="G7" s="140">
        <v>16</v>
      </c>
      <c r="H7" s="140">
        <v>0</v>
      </c>
      <c r="I7" s="140">
        <v>0</v>
      </c>
      <c r="J7" s="140">
        <f t="shared" si="0"/>
        <v>17</v>
      </c>
      <c r="K7" s="3"/>
    </row>
    <row r="8" spans="1:11" x14ac:dyDescent="0.3">
      <c r="A8" s="4" t="s">
        <v>367</v>
      </c>
      <c r="B8" s="138" t="s">
        <v>360</v>
      </c>
      <c r="C8" s="2" t="s">
        <v>202</v>
      </c>
      <c r="D8" s="2" t="s">
        <v>204</v>
      </c>
      <c r="E8" s="2" t="s">
        <v>361</v>
      </c>
      <c r="F8" s="139">
        <v>0</v>
      </c>
      <c r="G8" s="140">
        <v>0</v>
      </c>
      <c r="H8" s="140">
        <v>0</v>
      </c>
      <c r="I8" s="140">
        <v>0</v>
      </c>
      <c r="J8" s="140">
        <f t="shared" si="0"/>
        <v>0</v>
      </c>
      <c r="K8" s="3"/>
    </row>
    <row r="9" spans="1:11" x14ac:dyDescent="0.3">
      <c r="A9" s="4" t="s">
        <v>368</v>
      </c>
      <c r="B9" s="138" t="s">
        <v>360</v>
      </c>
      <c r="C9" s="2" t="s">
        <v>202</v>
      </c>
      <c r="D9" s="2" t="s">
        <v>204</v>
      </c>
      <c r="E9" s="2" t="s">
        <v>361</v>
      </c>
      <c r="F9" s="139">
        <v>4</v>
      </c>
      <c r="G9" s="140">
        <v>0</v>
      </c>
      <c r="H9" s="140">
        <v>0</v>
      </c>
      <c r="I9" s="140">
        <v>0</v>
      </c>
      <c r="J9" s="140">
        <f t="shared" si="0"/>
        <v>4</v>
      </c>
      <c r="K9" s="3"/>
    </row>
    <row r="10" spans="1:11" x14ac:dyDescent="0.3">
      <c r="A10" s="4" t="s">
        <v>369</v>
      </c>
      <c r="B10" s="138" t="s">
        <v>360</v>
      </c>
      <c r="C10" s="2" t="s">
        <v>202</v>
      </c>
      <c r="D10" s="2" t="s">
        <v>204</v>
      </c>
      <c r="E10" s="2" t="s">
        <v>370</v>
      </c>
      <c r="F10" s="139">
        <v>14</v>
      </c>
      <c r="G10" s="140">
        <v>0</v>
      </c>
      <c r="H10" s="140">
        <v>0</v>
      </c>
      <c r="I10" s="140">
        <v>2</v>
      </c>
      <c r="J10" s="140">
        <f t="shared" si="0"/>
        <v>16</v>
      </c>
      <c r="K10" s="3"/>
    </row>
    <row r="11" spans="1:11" x14ac:dyDescent="0.3">
      <c r="A11" s="4" t="s">
        <v>371</v>
      </c>
      <c r="B11" s="138" t="s">
        <v>363</v>
      </c>
      <c r="C11" s="2" t="s">
        <v>198</v>
      </c>
      <c r="D11" s="2" t="s">
        <v>200</v>
      </c>
      <c r="E11" s="2" t="s">
        <v>372</v>
      </c>
      <c r="F11" s="139">
        <v>11</v>
      </c>
      <c r="G11" s="140">
        <v>0</v>
      </c>
      <c r="H11" s="140">
        <v>0</v>
      </c>
      <c r="I11" s="140">
        <v>11</v>
      </c>
      <c r="J11" s="140">
        <f t="shared" si="0"/>
        <v>22</v>
      </c>
      <c r="K11" s="3"/>
    </row>
    <row r="12" spans="1:11" x14ac:dyDescent="0.3">
      <c r="A12" s="4" t="s">
        <v>373</v>
      </c>
      <c r="B12" s="138" t="s">
        <v>360</v>
      </c>
      <c r="C12" s="2" t="s">
        <v>209</v>
      </c>
      <c r="D12" s="2" t="s">
        <v>207</v>
      </c>
      <c r="E12" s="2" t="s">
        <v>374</v>
      </c>
      <c r="F12" s="139">
        <v>9</v>
      </c>
      <c r="G12" s="140">
        <v>0</v>
      </c>
      <c r="H12" s="140">
        <v>0</v>
      </c>
      <c r="I12" s="140">
        <v>0</v>
      </c>
      <c r="J12" s="140">
        <f t="shared" si="0"/>
        <v>9</v>
      </c>
      <c r="K12" s="3"/>
    </row>
    <row r="13" spans="1:11" x14ac:dyDescent="0.3">
      <c r="A13" s="4" t="s">
        <v>375</v>
      </c>
      <c r="B13" s="138" t="s">
        <v>360</v>
      </c>
      <c r="C13" s="2" t="s">
        <v>188</v>
      </c>
      <c r="D13" s="2" t="s">
        <v>189</v>
      </c>
      <c r="E13" s="2" t="s">
        <v>376</v>
      </c>
      <c r="F13" s="139">
        <v>10</v>
      </c>
      <c r="G13" s="140">
        <v>0</v>
      </c>
      <c r="H13" s="140">
        <v>0</v>
      </c>
      <c r="I13" s="140">
        <v>0</v>
      </c>
      <c r="J13" s="140">
        <f t="shared" si="0"/>
        <v>10</v>
      </c>
      <c r="K13" s="3"/>
    </row>
    <row r="14" spans="1:11" x14ac:dyDescent="0.3">
      <c r="A14" s="4" t="s">
        <v>377</v>
      </c>
      <c r="B14" s="138" t="s">
        <v>360</v>
      </c>
      <c r="C14" s="2" t="s">
        <v>202</v>
      </c>
      <c r="D14" s="2" t="s">
        <v>199</v>
      </c>
      <c r="E14" s="2" t="s">
        <v>378</v>
      </c>
      <c r="F14" s="139">
        <v>2</v>
      </c>
      <c r="G14" s="140">
        <v>12</v>
      </c>
      <c r="H14" s="140">
        <v>0</v>
      </c>
      <c r="I14" s="140">
        <v>0</v>
      </c>
      <c r="J14" s="140">
        <f t="shared" si="0"/>
        <v>14</v>
      </c>
      <c r="K14" s="3"/>
    </row>
    <row r="15" spans="1:11" x14ac:dyDescent="0.3">
      <c r="A15" s="4" t="s">
        <v>379</v>
      </c>
      <c r="B15" s="138" t="s">
        <v>363</v>
      </c>
      <c r="C15" s="2" t="s">
        <v>198</v>
      </c>
      <c r="D15" s="2" t="s">
        <v>199</v>
      </c>
      <c r="E15" s="2" t="s">
        <v>380</v>
      </c>
      <c r="F15" s="139">
        <v>0</v>
      </c>
      <c r="G15" s="140">
        <v>6</v>
      </c>
      <c r="H15" s="140">
        <v>0</v>
      </c>
      <c r="I15" s="140">
        <v>0</v>
      </c>
      <c r="J15" s="140">
        <f t="shared" si="0"/>
        <v>6</v>
      </c>
      <c r="K15" s="3"/>
    </row>
    <row r="16" spans="1:11" x14ac:dyDescent="0.3">
      <c r="A16" s="4" t="s">
        <v>381</v>
      </c>
      <c r="B16" s="138" t="s">
        <v>360</v>
      </c>
      <c r="C16" s="2" t="s">
        <v>209</v>
      </c>
      <c r="D16" s="2" t="s">
        <v>207</v>
      </c>
      <c r="E16" s="2" t="s">
        <v>382</v>
      </c>
      <c r="F16" s="139">
        <v>10</v>
      </c>
      <c r="G16" s="140">
        <v>0</v>
      </c>
      <c r="H16" s="140">
        <v>0</v>
      </c>
      <c r="I16" s="140">
        <v>0</v>
      </c>
      <c r="J16" s="140">
        <f t="shared" si="0"/>
        <v>10</v>
      </c>
      <c r="K16" s="3"/>
    </row>
    <row r="17" spans="1:11" x14ac:dyDescent="0.3">
      <c r="A17" s="4" t="s">
        <v>383</v>
      </c>
      <c r="B17" s="138" t="s">
        <v>360</v>
      </c>
      <c r="C17" s="2" t="s">
        <v>202</v>
      </c>
      <c r="D17" s="2" t="s">
        <v>199</v>
      </c>
      <c r="E17" s="2" t="s">
        <v>384</v>
      </c>
      <c r="F17" s="139">
        <v>8</v>
      </c>
      <c r="G17" s="140">
        <v>0</v>
      </c>
      <c r="H17" s="140">
        <v>0</v>
      </c>
      <c r="I17" s="140">
        <v>0</v>
      </c>
      <c r="J17" s="140">
        <f t="shared" si="0"/>
        <v>8</v>
      </c>
      <c r="K17" s="3"/>
    </row>
    <row r="18" spans="1:11" x14ac:dyDescent="0.3">
      <c r="A18" s="4" t="s">
        <v>385</v>
      </c>
      <c r="B18" s="138" t="s">
        <v>360</v>
      </c>
      <c r="C18" s="2" t="s">
        <v>202</v>
      </c>
      <c r="D18" s="2" t="s">
        <v>199</v>
      </c>
      <c r="E18" s="2" t="s">
        <v>378</v>
      </c>
      <c r="F18" s="139">
        <v>1</v>
      </c>
      <c r="G18" s="140">
        <v>0</v>
      </c>
      <c r="H18" s="140">
        <v>0</v>
      </c>
      <c r="I18" s="140">
        <v>0</v>
      </c>
      <c r="J18" s="140">
        <f t="shared" si="0"/>
        <v>1</v>
      </c>
      <c r="K18" s="3"/>
    </row>
    <row r="19" spans="1:11" x14ac:dyDescent="0.3">
      <c r="A19" s="4" t="s">
        <v>386</v>
      </c>
      <c r="B19" s="138" t="s">
        <v>360</v>
      </c>
      <c r="C19" s="2" t="s">
        <v>188</v>
      </c>
      <c r="D19" s="2" t="s">
        <v>189</v>
      </c>
      <c r="E19" s="2" t="s">
        <v>387</v>
      </c>
      <c r="F19" s="139">
        <v>0</v>
      </c>
      <c r="G19" s="140">
        <v>0</v>
      </c>
      <c r="H19" s="140">
        <v>0</v>
      </c>
      <c r="I19" s="140">
        <v>0</v>
      </c>
      <c r="J19" s="140">
        <f t="shared" si="0"/>
        <v>0</v>
      </c>
      <c r="K19" s="3"/>
    </row>
    <row r="20" spans="1:11" x14ac:dyDescent="0.3">
      <c r="A20" s="4" t="s">
        <v>388</v>
      </c>
      <c r="B20" s="138" t="s">
        <v>360</v>
      </c>
      <c r="C20" s="2" t="s">
        <v>202</v>
      </c>
      <c r="D20" s="2" t="s">
        <v>204</v>
      </c>
      <c r="E20" s="2" t="s">
        <v>389</v>
      </c>
      <c r="F20" s="139">
        <v>0</v>
      </c>
      <c r="G20" s="140">
        <v>0</v>
      </c>
      <c r="H20" s="140">
        <v>0</v>
      </c>
      <c r="I20" s="140">
        <v>0</v>
      </c>
      <c r="J20" s="140">
        <f t="shared" si="0"/>
        <v>0</v>
      </c>
      <c r="K20" s="3"/>
    </row>
    <row r="21" spans="1:11" x14ac:dyDescent="0.3">
      <c r="A21" s="4" t="s">
        <v>390</v>
      </c>
      <c r="B21" s="138" t="s">
        <v>360</v>
      </c>
      <c r="C21" s="2" t="s">
        <v>202</v>
      </c>
      <c r="D21" s="2" t="s">
        <v>204</v>
      </c>
      <c r="E21" s="2" t="s">
        <v>391</v>
      </c>
      <c r="F21" s="139">
        <v>0</v>
      </c>
      <c r="G21" s="140">
        <v>0</v>
      </c>
      <c r="H21" s="140">
        <v>0</v>
      </c>
      <c r="I21" s="140">
        <v>0</v>
      </c>
      <c r="J21" s="140">
        <f t="shared" si="0"/>
        <v>0</v>
      </c>
      <c r="K21" s="3"/>
    </row>
    <row r="22" spans="1:11" x14ac:dyDescent="0.3">
      <c r="A22" s="4" t="s">
        <v>392</v>
      </c>
      <c r="B22" s="138" t="s">
        <v>360</v>
      </c>
      <c r="C22" s="2" t="s">
        <v>202</v>
      </c>
      <c r="D22" s="2" t="s">
        <v>199</v>
      </c>
      <c r="E22" s="2" t="s">
        <v>393</v>
      </c>
      <c r="F22" s="139">
        <v>15</v>
      </c>
      <c r="G22" s="140">
        <v>0</v>
      </c>
      <c r="H22" s="140">
        <v>0</v>
      </c>
      <c r="I22" s="140">
        <v>3</v>
      </c>
      <c r="J22" s="140">
        <f t="shared" si="0"/>
        <v>18</v>
      </c>
      <c r="K22" s="3"/>
    </row>
    <row r="23" spans="1:11" x14ac:dyDescent="0.3">
      <c r="A23" s="4" t="s">
        <v>394</v>
      </c>
      <c r="B23" s="138" t="s">
        <v>360</v>
      </c>
      <c r="C23" s="2" t="s">
        <v>188</v>
      </c>
      <c r="D23" s="2" t="s">
        <v>196</v>
      </c>
      <c r="E23" s="2" t="s">
        <v>395</v>
      </c>
      <c r="F23" s="139">
        <v>0</v>
      </c>
      <c r="G23" s="140">
        <v>0</v>
      </c>
      <c r="H23" s="140">
        <v>0</v>
      </c>
      <c r="I23" s="140">
        <v>0</v>
      </c>
      <c r="J23" s="140">
        <f t="shared" si="0"/>
        <v>0</v>
      </c>
      <c r="K23" s="3"/>
    </row>
    <row r="24" spans="1:11" x14ac:dyDescent="0.3">
      <c r="A24" s="4" t="s">
        <v>396</v>
      </c>
      <c r="B24" s="138" t="s">
        <v>363</v>
      </c>
      <c r="C24" s="2" t="s">
        <v>206</v>
      </c>
      <c r="D24" s="2" t="s">
        <v>189</v>
      </c>
      <c r="E24" s="2" t="s">
        <v>397</v>
      </c>
      <c r="F24" s="139">
        <v>1</v>
      </c>
      <c r="G24" s="140">
        <v>0</v>
      </c>
      <c r="H24" s="140">
        <v>0</v>
      </c>
      <c r="I24" s="140">
        <v>0</v>
      </c>
      <c r="J24" s="140">
        <f t="shared" si="0"/>
        <v>1</v>
      </c>
      <c r="K24" s="3"/>
    </row>
    <row r="25" spans="1:11" x14ac:dyDescent="0.3">
      <c r="A25" s="4" t="s">
        <v>398</v>
      </c>
      <c r="B25" s="138" t="s">
        <v>360</v>
      </c>
      <c r="C25" s="2" t="s">
        <v>202</v>
      </c>
      <c r="D25" s="127" t="s">
        <v>203</v>
      </c>
      <c r="E25" s="2" t="s">
        <v>399</v>
      </c>
      <c r="F25" s="139">
        <v>1</v>
      </c>
      <c r="G25" s="140">
        <v>0</v>
      </c>
      <c r="H25" s="140">
        <v>0</v>
      </c>
      <c r="I25" s="140">
        <v>0</v>
      </c>
      <c r="J25" s="140">
        <f t="shared" si="0"/>
        <v>1</v>
      </c>
      <c r="K25" s="3"/>
    </row>
    <row r="26" spans="1:11" x14ac:dyDescent="0.3">
      <c r="A26" s="4" t="s">
        <v>400</v>
      </c>
      <c r="B26" s="138" t="s">
        <v>363</v>
      </c>
      <c r="C26" s="2" t="s">
        <v>198</v>
      </c>
      <c r="D26" s="2" t="s">
        <v>199</v>
      </c>
      <c r="E26" s="2" t="s">
        <v>364</v>
      </c>
      <c r="F26" s="139">
        <v>17</v>
      </c>
      <c r="G26" s="140">
        <v>0</v>
      </c>
      <c r="H26" s="140">
        <v>0</v>
      </c>
      <c r="I26" s="140">
        <v>0</v>
      </c>
      <c r="J26" s="140">
        <f t="shared" si="0"/>
        <v>17</v>
      </c>
      <c r="K26" s="3"/>
    </row>
    <row r="27" spans="1:11" x14ac:dyDescent="0.3">
      <c r="A27" s="4" t="s">
        <v>401</v>
      </c>
      <c r="B27" s="138" t="s">
        <v>363</v>
      </c>
      <c r="C27" s="2" t="s">
        <v>198</v>
      </c>
      <c r="D27" s="2" t="s">
        <v>199</v>
      </c>
      <c r="E27" s="2" t="s">
        <v>402</v>
      </c>
      <c r="F27" s="139">
        <v>5</v>
      </c>
      <c r="G27" s="140">
        <v>0</v>
      </c>
      <c r="H27" s="140">
        <v>0</v>
      </c>
      <c r="I27" s="140">
        <v>0</v>
      </c>
      <c r="J27" s="140">
        <f t="shared" si="0"/>
        <v>5</v>
      </c>
      <c r="K27" s="3"/>
    </row>
    <row r="28" spans="1:11" x14ac:dyDescent="0.3">
      <c r="A28" s="4" t="s">
        <v>403</v>
      </c>
      <c r="B28" s="138" t="s">
        <v>363</v>
      </c>
      <c r="C28" s="2" t="s">
        <v>198</v>
      </c>
      <c r="D28" s="2" t="s">
        <v>200</v>
      </c>
      <c r="E28" s="2" t="s">
        <v>372</v>
      </c>
      <c r="F28" s="139">
        <v>4</v>
      </c>
      <c r="G28" s="140">
        <v>0</v>
      </c>
      <c r="H28" s="140">
        <v>0</v>
      </c>
      <c r="I28" s="140">
        <v>0</v>
      </c>
      <c r="J28" s="140">
        <f t="shared" si="0"/>
        <v>4</v>
      </c>
      <c r="K28" s="3"/>
    </row>
    <row r="29" spans="1:11" x14ac:dyDescent="0.3">
      <c r="A29" s="4" t="s">
        <v>404</v>
      </c>
      <c r="B29" s="138" t="s">
        <v>360</v>
      </c>
      <c r="C29" s="127" t="s">
        <v>201</v>
      </c>
      <c r="D29" s="2" t="s">
        <v>197</v>
      </c>
      <c r="E29" s="2" t="s">
        <v>405</v>
      </c>
      <c r="F29" s="139">
        <v>1</v>
      </c>
      <c r="G29" s="140">
        <v>0</v>
      </c>
      <c r="H29" s="140">
        <v>0</v>
      </c>
      <c r="I29" s="140">
        <v>0</v>
      </c>
      <c r="J29" s="140">
        <f t="shared" si="0"/>
        <v>1</v>
      </c>
      <c r="K29" s="3"/>
    </row>
    <row r="30" spans="1:11" x14ac:dyDescent="0.3">
      <c r="A30" s="4" t="s">
        <v>406</v>
      </c>
      <c r="B30" s="138" t="s">
        <v>360</v>
      </c>
      <c r="C30" s="2" t="s">
        <v>202</v>
      </c>
      <c r="D30" s="2" t="s">
        <v>204</v>
      </c>
      <c r="E30" s="2" t="s">
        <v>361</v>
      </c>
      <c r="F30" s="139">
        <v>5</v>
      </c>
      <c r="G30" s="140">
        <v>6</v>
      </c>
      <c r="H30" s="140">
        <v>0</v>
      </c>
      <c r="I30" s="140">
        <v>0</v>
      </c>
      <c r="J30" s="140">
        <f t="shared" si="0"/>
        <v>11</v>
      </c>
      <c r="K30" s="3"/>
    </row>
    <row r="31" spans="1:11" x14ac:dyDescent="0.3">
      <c r="A31" s="4" t="s">
        <v>407</v>
      </c>
      <c r="B31" s="138" t="s">
        <v>360</v>
      </c>
      <c r="C31" s="2" t="s">
        <v>202</v>
      </c>
      <c r="D31" s="2" t="s">
        <v>199</v>
      </c>
      <c r="E31" s="2" t="s">
        <v>393</v>
      </c>
      <c r="F31" s="139">
        <v>15</v>
      </c>
      <c r="G31" s="140">
        <v>0</v>
      </c>
      <c r="H31" s="140">
        <v>0</v>
      </c>
      <c r="I31" s="140">
        <v>0</v>
      </c>
      <c r="J31" s="140">
        <f t="shared" si="0"/>
        <v>15</v>
      </c>
      <c r="K31" s="3"/>
    </row>
    <row r="32" spans="1:11" x14ac:dyDescent="0.3">
      <c r="A32" s="4" t="s">
        <v>408</v>
      </c>
      <c r="B32" s="138" t="s">
        <v>363</v>
      </c>
      <c r="C32" s="2" t="s">
        <v>198</v>
      </c>
      <c r="D32" s="2" t="s">
        <v>197</v>
      </c>
      <c r="E32" s="2" t="s">
        <v>409</v>
      </c>
      <c r="F32" s="139">
        <v>1</v>
      </c>
      <c r="G32" s="140">
        <v>0</v>
      </c>
      <c r="H32" s="140">
        <v>0</v>
      </c>
      <c r="I32" s="140">
        <v>0</v>
      </c>
      <c r="J32" s="140">
        <f t="shared" si="0"/>
        <v>1</v>
      </c>
      <c r="K32" s="3"/>
    </row>
    <row r="33" spans="1:11" x14ac:dyDescent="0.3">
      <c r="A33" s="4" t="s">
        <v>410</v>
      </c>
      <c r="B33" s="138" t="s">
        <v>363</v>
      </c>
      <c r="C33" s="2" t="s">
        <v>198</v>
      </c>
      <c r="D33" s="2" t="s">
        <v>199</v>
      </c>
      <c r="E33" s="2" t="s">
        <v>380</v>
      </c>
      <c r="F33" s="139">
        <v>14</v>
      </c>
      <c r="G33" s="140">
        <v>0</v>
      </c>
      <c r="H33" s="140">
        <v>0</v>
      </c>
      <c r="I33" s="140">
        <v>0</v>
      </c>
      <c r="J33" s="140">
        <f t="shared" si="0"/>
        <v>14</v>
      </c>
      <c r="K33" s="3"/>
    </row>
    <row r="34" spans="1:11" x14ac:dyDescent="0.3">
      <c r="A34" s="4" t="s">
        <v>411</v>
      </c>
      <c r="B34" s="138" t="s">
        <v>360</v>
      </c>
      <c r="C34" s="2" t="s">
        <v>202</v>
      </c>
      <c r="D34" s="2" t="s">
        <v>204</v>
      </c>
      <c r="E34" s="2" t="s">
        <v>412</v>
      </c>
      <c r="F34" s="139">
        <v>3</v>
      </c>
      <c r="G34" s="140">
        <v>32</v>
      </c>
      <c r="H34" s="140">
        <v>0</v>
      </c>
      <c r="I34" s="140">
        <v>0</v>
      </c>
      <c r="J34" s="140">
        <f t="shared" si="0"/>
        <v>35</v>
      </c>
      <c r="K34" s="3"/>
    </row>
    <row r="35" spans="1:11" x14ac:dyDescent="0.3">
      <c r="A35" s="4" t="s">
        <v>413</v>
      </c>
      <c r="B35" s="138" t="s">
        <v>360</v>
      </c>
      <c r="C35" s="2" t="s">
        <v>202</v>
      </c>
      <c r="D35" s="2" t="s">
        <v>204</v>
      </c>
      <c r="E35" s="2" t="s">
        <v>412</v>
      </c>
      <c r="F35" s="139">
        <v>1</v>
      </c>
      <c r="G35" s="140">
        <v>0</v>
      </c>
      <c r="H35" s="140">
        <v>0</v>
      </c>
      <c r="I35" s="140">
        <v>0</v>
      </c>
      <c r="J35" s="140">
        <f t="shared" si="0"/>
        <v>1</v>
      </c>
      <c r="K35" s="3"/>
    </row>
    <row r="36" spans="1:11" x14ac:dyDescent="0.3">
      <c r="A36" s="4" t="s">
        <v>414</v>
      </c>
      <c r="B36" s="138" t="s">
        <v>360</v>
      </c>
      <c r="C36" s="2" t="s">
        <v>202</v>
      </c>
      <c r="D36" s="2" t="s">
        <v>199</v>
      </c>
      <c r="E36" s="2" t="s">
        <v>415</v>
      </c>
      <c r="F36" s="139">
        <v>5</v>
      </c>
      <c r="G36" s="140">
        <v>0</v>
      </c>
      <c r="H36" s="140">
        <v>0</v>
      </c>
      <c r="I36" s="140">
        <v>0</v>
      </c>
      <c r="J36" s="140">
        <f t="shared" si="0"/>
        <v>5</v>
      </c>
      <c r="K36" s="3"/>
    </row>
    <row r="37" spans="1:11" x14ac:dyDescent="0.3">
      <c r="A37" s="4" t="s">
        <v>416</v>
      </c>
      <c r="B37" s="138" t="s">
        <v>360</v>
      </c>
      <c r="C37" s="2" t="s">
        <v>202</v>
      </c>
      <c r="D37" s="2" t="s">
        <v>200</v>
      </c>
      <c r="E37" s="2" t="s">
        <v>417</v>
      </c>
      <c r="F37" s="139">
        <v>6</v>
      </c>
      <c r="G37" s="140">
        <v>0</v>
      </c>
      <c r="H37" s="140">
        <v>0</v>
      </c>
      <c r="I37" s="140">
        <v>0</v>
      </c>
      <c r="J37" s="140">
        <f t="shared" si="0"/>
        <v>6</v>
      </c>
      <c r="K37" s="3"/>
    </row>
    <row r="38" spans="1:11" x14ac:dyDescent="0.3">
      <c r="A38" s="4" t="s">
        <v>418</v>
      </c>
      <c r="B38" s="138" t="s">
        <v>360</v>
      </c>
      <c r="C38" s="2" t="s">
        <v>202</v>
      </c>
      <c r="D38" s="2" t="s">
        <v>204</v>
      </c>
      <c r="E38" s="2" t="s">
        <v>419</v>
      </c>
      <c r="F38" s="139">
        <v>3</v>
      </c>
      <c r="G38" s="140">
        <v>0</v>
      </c>
      <c r="H38" s="140">
        <v>0</v>
      </c>
      <c r="I38" s="140">
        <v>0</v>
      </c>
      <c r="J38" s="140">
        <f t="shared" si="0"/>
        <v>3</v>
      </c>
      <c r="K38" s="3"/>
    </row>
    <row r="39" spans="1:11" x14ac:dyDescent="0.3">
      <c r="A39" s="4" t="s">
        <v>420</v>
      </c>
      <c r="B39" s="138" t="s">
        <v>360</v>
      </c>
      <c r="C39" s="2" t="s">
        <v>188</v>
      </c>
      <c r="D39" s="2" t="s">
        <v>189</v>
      </c>
      <c r="E39" s="2" t="s">
        <v>421</v>
      </c>
      <c r="F39" s="139">
        <v>14</v>
      </c>
      <c r="G39" s="140">
        <v>0</v>
      </c>
      <c r="H39" s="140">
        <v>0</v>
      </c>
      <c r="I39" s="140">
        <v>14</v>
      </c>
      <c r="J39" s="140">
        <f t="shared" si="0"/>
        <v>28</v>
      </c>
      <c r="K39" s="3"/>
    </row>
    <row r="40" spans="1:11" x14ac:dyDescent="0.3">
      <c r="A40" s="4" t="s">
        <v>422</v>
      </c>
      <c r="B40" s="138" t="s">
        <v>360</v>
      </c>
      <c r="C40" s="2" t="s">
        <v>188</v>
      </c>
      <c r="D40" s="2" t="s">
        <v>196</v>
      </c>
      <c r="E40" s="2" t="s">
        <v>423</v>
      </c>
      <c r="F40" s="139">
        <v>3</v>
      </c>
      <c r="G40" s="140">
        <v>0</v>
      </c>
      <c r="H40" s="140">
        <v>0</v>
      </c>
      <c r="I40" s="140">
        <v>0</v>
      </c>
      <c r="J40" s="140">
        <f t="shared" si="0"/>
        <v>3</v>
      </c>
      <c r="K40" s="3"/>
    </row>
    <row r="41" spans="1:11" x14ac:dyDescent="0.3">
      <c r="A41" s="4" t="s">
        <v>424</v>
      </c>
      <c r="B41" s="138" t="s">
        <v>360</v>
      </c>
      <c r="C41" s="2" t="s">
        <v>209</v>
      </c>
      <c r="D41" s="2" t="s">
        <v>197</v>
      </c>
      <c r="E41" s="2" t="s">
        <v>425</v>
      </c>
      <c r="F41" s="139">
        <v>3</v>
      </c>
      <c r="G41" s="140">
        <v>0</v>
      </c>
      <c r="H41" s="140">
        <v>0</v>
      </c>
      <c r="I41" s="140">
        <v>0</v>
      </c>
      <c r="J41" s="140">
        <f t="shared" si="0"/>
        <v>3</v>
      </c>
      <c r="K41" s="3"/>
    </row>
    <row r="42" spans="1:11" x14ac:dyDescent="0.3">
      <c r="A42" s="4" t="s">
        <v>426</v>
      </c>
      <c r="B42" s="138" t="s">
        <v>360</v>
      </c>
      <c r="C42" s="2" t="s">
        <v>202</v>
      </c>
      <c r="D42" s="2" t="s">
        <v>204</v>
      </c>
      <c r="E42" s="2" t="s">
        <v>361</v>
      </c>
      <c r="F42" s="139">
        <v>0</v>
      </c>
      <c r="G42" s="140">
        <v>0</v>
      </c>
      <c r="H42" s="140">
        <v>0</v>
      </c>
      <c r="I42" s="140">
        <v>0</v>
      </c>
      <c r="J42" s="140">
        <f t="shared" si="0"/>
        <v>0</v>
      </c>
      <c r="K42" s="3"/>
    </row>
    <row r="43" spans="1:11" x14ac:dyDescent="0.3">
      <c r="A43" s="4" t="s">
        <v>427</v>
      </c>
      <c r="B43" s="138" t="s">
        <v>360</v>
      </c>
      <c r="C43" s="2" t="s">
        <v>202</v>
      </c>
      <c r="D43" s="2" t="s">
        <v>199</v>
      </c>
      <c r="E43" s="2" t="s">
        <v>428</v>
      </c>
      <c r="F43" s="139">
        <v>3</v>
      </c>
      <c r="G43" s="140">
        <v>0</v>
      </c>
      <c r="H43" s="140">
        <v>0</v>
      </c>
      <c r="I43" s="140">
        <v>0</v>
      </c>
      <c r="J43" s="140">
        <f t="shared" si="0"/>
        <v>3</v>
      </c>
      <c r="K43" s="3"/>
    </row>
    <row r="44" spans="1:11" x14ac:dyDescent="0.3">
      <c r="A44" s="4" t="s">
        <v>429</v>
      </c>
      <c r="B44" s="138" t="s">
        <v>363</v>
      </c>
      <c r="C44" s="2" t="s">
        <v>198</v>
      </c>
      <c r="D44" s="2" t="s">
        <v>199</v>
      </c>
      <c r="E44" s="2" t="s">
        <v>380</v>
      </c>
      <c r="F44" s="139">
        <v>3</v>
      </c>
      <c r="G44" s="140">
        <v>0</v>
      </c>
      <c r="H44" s="140">
        <v>0</v>
      </c>
      <c r="I44" s="140">
        <v>0</v>
      </c>
      <c r="J44" s="140">
        <f t="shared" si="0"/>
        <v>3</v>
      </c>
      <c r="K44" s="3"/>
    </row>
    <row r="45" spans="1:11" x14ac:dyDescent="0.3">
      <c r="A45" s="4" t="s">
        <v>430</v>
      </c>
      <c r="B45" s="138" t="s">
        <v>360</v>
      </c>
      <c r="C45" s="2" t="s">
        <v>202</v>
      </c>
      <c r="D45" s="2" t="s">
        <v>199</v>
      </c>
      <c r="E45" s="2" t="s">
        <v>393</v>
      </c>
      <c r="F45" s="139">
        <v>1</v>
      </c>
      <c r="G45" s="140">
        <v>0</v>
      </c>
      <c r="H45" s="140">
        <v>0</v>
      </c>
      <c r="I45" s="140">
        <v>0</v>
      </c>
      <c r="J45" s="140">
        <f t="shared" si="0"/>
        <v>1</v>
      </c>
      <c r="K45" s="3"/>
    </row>
    <row r="46" spans="1:11" x14ac:dyDescent="0.3">
      <c r="A46" s="4" t="s">
        <v>431</v>
      </c>
      <c r="B46" s="138" t="s">
        <v>363</v>
      </c>
      <c r="C46" s="2" t="s">
        <v>198</v>
      </c>
      <c r="D46" s="2" t="s">
        <v>199</v>
      </c>
      <c r="E46" s="2" t="s">
        <v>432</v>
      </c>
      <c r="F46" s="139">
        <v>2</v>
      </c>
      <c r="G46" s="140">
        <v>0</v>
      </c>
      <c r="H46" s="140">
        <v>0</v>
      </c>
      <c r="I46" s="140">
        <v>0</v>
      </c>
      <c r="J46" s="140">
        <f t="shared" si="0"/>
        <v>2</v>
      </c>
      <c r="K46" s="3"/>
    </row>
    <row r="47" spans="1:11" x14ac:dyDescent="0.3">
      <c r="A47" s="4" t="s">
        <v>433</v>
      </c>
      <c r="B47" s="138" t="s">
        <v>363</v>
      </c>
      <c r="C47" s="2" t="s">
        <v>198</v>
      </c>
      <c r="D47" s="2" t="s">
        <v>194</v>
      </c>
      <c r="E47" s="2" t="s">
        <v>434</v>
      </c>
      <c r="F47" s="139">
        <v>11</v>
      </c>
      <c r="G47" s="140">
        <v>0</v>
      </c>
      <c r="H47" s="140">
        <v>0</v>
      </c>
      <c r="I47" s="140">
        <v>8</v>
      </c>
      <c r="J47" s="140">
        <f t="shared" si="0"/>
        <v>19</v>
      </c>
      <c r="K47" s="3"/>
    </row>
    <row r="48" spans="1:11" x14ac:dyDescent="0.3">
      <c r="A48" s="4" t="s">
        <v>435</v>
      </c>
      <c r="B48" s="138" t="s">
        <v>360</v>
      </c>
      <c r="C48" s="2" t="s">
        <v>209</v>
      </c>
      <c r="D48" s="2" t="s">
        <v>207</v>
      </c>
      <c r="E48" s="2" t="s">
        <v>382</v>
      </c>
      <c r="F48" s="139">
        <v>3</v>
      </c>
      <c r="G48" s="140">
        <v>0</v>
      </c>
      <c r="H48" s="140">
        <v>0</v>
      </c>
      <c r="I48" s="140">
        <v>0</v>
      </c>
      <c r="J48" s="140">
        <f t="shared" si="0"/>
        <v>3</v>
      </c>
      <c r="K48" s="3"/>
    </row>
    <row r="49" spans="1:11" x14ac:dyDescent="0.3">
      <c r="A49" s="4" t="s">
        <v>436</v>
      </c>
      <c r="B49" s="138" t="s">
        <v>360</v>
      </c>
      <c r="C49" s="2" t="s">
        <v>202</v>
      </c>
      <c r="D49" s="2" t="s">
        <v>204</v>
      </c>
      <c r="E49" s="2" t="s">
        <v>361</v>
      </c>
      <c r="F49" s="139">
        <v>1</v>
      </c>
      <c r="G49" s="140">
        <v>0</v>
      </c>
      <c r="H49" s="140">
        <v>0</v>
      </c>
      <c r="I49" s="140">
        <v>0</v>
      </c>
      <c r="J49" s="140">
        <f t="shared" si="0"/>
        <v>1</v>
      </c>
      <c r="K49" s="3"/>
    </row>
    <row r="50" spans="1:11" x14ac:dyDescent="0.3">
      <c r="A50" s="4" t="s">
        <v>437</v>
      </c>
      <c r="B50" s="138" t="s">
        <v>360</v>
      </c>
      <c r="C50" s="2" t="s">
        <v>202</v>
      </c>
      <c r="D50" s="2" t="s">
        <v>199</v>
      </c>
      <c r="E50" s="2" t="s">
        <v>384</v>
      </c>
      <c r="F50" s="139">
        <v>15</v>
      </c>
      <c r="G50" s="140">
        <v>0</v>
      </c>
      <c r="H50" s="140">
        <v>0</v>
      </c>
      <c r="I50" s="140">
        <v>11</v>
      </c>
      <c r="J50" s="140">
        <f t="shared" si="0"/>
        <v>26</v>
      </c>
      <c r="K50" s="3"/>
    </row>
    <row r="51" spans="1:11" x14ac:dyDescent="0.3">
      <c r="A51" s="4" t="s">
        <v>438</v>
      </c>
      <c r="B51" s="138" t="s">
        <v>363</v>
      </c>
      <c r="C51" s="2" t="s">
        <v>208</v>
      </c>
      <c r="D51" s="2" t="s">
        <v>197</v>
      </c>
      <c r="E51" s="2" t="s">
        <v>439</v>
      </c>
      <c r="F51" s="139">
        <v>2</v>
      </c>
      <c r="G51" s="140">
        <v>0</v>
      </c>
      <c r="H51" s="140">
        <v>0</v>
      </c>
      <c r="I51" s="140">
        <v>0</v>
      </c>
      <c r="J51" s="140">
        <f t="shared" si="0"/>
        <v>2</v>
      </c>
      <c r="K51" s="3"/>
    </row>
    <row r="52" spans="1:11" x14ac:dyDescent="0.3">
      <c r="A52" s="4" t="s">
        <v>440</v>
      </c>
      <c r="B52" s="138" t="s">
        <v>360</v>
      </c>
      <c r="C52" s="2" t="s">
        <v>202</v>
      </c>
      <c r="D52" s="2" t="s">
        <v>199</v>
      </c>
      <c r="E52" s="2" t="s">
        <v>415</v>
      </c>
      <c r="F52" s="139">
        <v>12</v>
      </c>
      <c r="G52" s="140">
        <v>0</v>
      </c>
      <c r="H52" s="140">
        <v>0</v>
      </c>
      <c r="I52" s="140">
        <v>0</v>
      </c>
      <c r="J52" s="140">
        <f t="shared" si="0"/>
        <v>12</v>
      </c>
      <c r="K52" s="3"/>
    </row>
    <row r="53" spans="1:11" x14ac:dyDescent="0.3">
      <c r="A53" s="4" t="s">
        <v>441</v>
      </c>
      <c r="B53" s="138" t="s">
        <v>360</v>
      </c>
      <c r="C53" s="2" t="s">
        <v>202</v>
      </c>
      <c r="D53" s="2" t="s">
        <v>199</v>
      </c>
      <c r="E53" s="2" t="s">
        <v>378</v>
      </c>
      <c r="F53" s="139">
        <v>14</v>
      </c>
      <c r="G53" s="140">
        <v>0</v>
      </c>
      <c r="H53" s="140">
        <v>0</v>
      </c>
      <c r="I53" s="140">
        <v>16</v>
      </c>
      <c r="J53" s="140">
        <f t="shared" si="0"/>
        <v>30</v>
      </c>
      <c r="K53" s="3"/>
    </row>
    <row r="54" spans="1:11" x14ac:dyDescent="0.3">
      <c r="A54" s="4" t="s">
        <v>442</v>
      </c>
      <c r="B54" s="138" t="s">
        <v>363</v>
      </c>
      <c r="C54" s="2" t="s">
        <v>206</v>
      </c>
      <c r="D54" s="2" t="s">
        <v>207</v>
      </c>
      <c r="E54" s="2" t="s">
        <v>443</v>
      </c>
      <c r="F54" s="139">
        <v>1</v>
      </c>
      <c r="G54" s="140">
        <v>0</v>
      </c>
      <c r="H54" s="140">
        <v>0</v>
      </c>
      <c r="I54" s="140">
        <v>0</v>
      </c>
      <c r="J54" s="140">
        <f t="shared" si="0"/>
        <v>1</v>
      </c>
      <c r="K54" s="3"/>
    </row>
    <row r="55" spans="1:11" x14ac:dyDescent="0.3">
      <c r="A55" s="4" t="s">
        <v>444</v>
      </c>
      <c r="B55" s="138" t="s">
        <v>363</v>
      </c>
      <c r="C55" s="2" t="s">
        <v>208</v>
      </c>
      <c r="D55" s="2" t="s">
        <v>197</v>
      </c>
      <c r="E55" s="2" t="s">
        <v>439</v>
      </c>
      <c r="F55" s="139">
        <v>6</v>
      </c>
      <c r="G55" s="140">
        <v>0</v>
      </c>
      <c r="H55" s="140">
        <v>0</v>
      </c>
      <c r="I55" s="140">
        <v>0</v>
      </c>
      <c r="J55" s="140">
        <f t="shared" si="0"/>
        <v>6</v>
      </c>
      <c r="K55" s="3"/>
    </row>
    <row r="56" spans="1:11" x14ac:dyDescent="0.3">
      <c r="A56" s="4" t="s">
        <v>445</v>
      </c>
      <c r="B56" s="138" t="s">
        <v>360</v>
      </c>
      <c r="C56" s="2" t="s">
        <v>202</v>
      </c>
      <c r="D56" s="2" t="s">
        <v>204</v>
      </c>
      <c r="E56" s="2" t="s">
        <v>391</v>
      </c>
      <c r="F56" s="139">
        <v>17</v>
      </c>
      <c r="G56" s="140">
        <v>0</v>
      </c>
      <c r="H56" s="140">
        <v>0</v>
      </c>
      <c r="I56" s="140">
        <v>3</v>
      </c>
      <c r="J56" s="140">
        <f t="shared" si="0"/>
        <v>20</v>
      </c>
      <c r="K56" s="3"/>
    </row>
    <row r="57" spans="1:11" x14ac:dyDescent="0.3">
      <c r="A57" s="4" t="s">
        <v>446</v>
      </c>
      <c r="B57" s="138" t="s">
        <v>360</v>
      </c>
      <c r="C57" s="2" t="s">
        <v>188</v>
      </c>
      <c r="D57" s="2" t="s">
        <v>195</v>
      </c>
      <c r="E57" s="2" t="s">
        <v>447</v>
      </c>
      <c r="F57" s="139">
        <v>7</v>
      </c>
      <c r="G57" s="140">
        <v>6</v>
      </c>
      <c r="H57" s="140">
        <v>0</v>
      </c>
      <c r="I57" s="140">
        <v>0</v>
      </c>
      <c r="J57" s="140">
        <f t="shared" si="0"/>
        <v>13</v>
      </c>
      <c r="K57" s="3"/>
    </row>
    <row r="58" spans="1:11" x14ac:dyDescent="0.3">
      <c r="A58" s="4" t="s">
        <v>448</v>
      </c>
      <c r="B58" s="138" t="s">
        <v>360</v>
      </c>
      <c r="C58" s="2" t="s">
        <v>188</v>
      </c>
      <c r="D58" s="2" t="s">
        <v>195</v>
      </c>
      <c r="E58" s="2" t="s">
        <v>447</v>
      </c>
      <c r="F58" s="139">
        <v>10</v>
      </c>
      <c r="G58" s="140">
        <v>0</v>
      </c>
      <c r="H58" s="140">
        <v>0</v>
      </c>
      <c r="I58" s="140">
        <v>0</v>
      </c>
      <c r="J58" s="140">
        <f t="shared" si="0"/>
        <v>10</v>
      </c>
      <c r="K58" s="3"/>
    </row>
    <row r="59" spans="1:11" x14ac:dyDescent="0.3">
      <c r="A59" s="4" t="s">
        <v>449</v>
      </c>
      <c r="B59" s="138" t="s">
        <v>363</v>
      </c>
      <c r="C59" s="2" t="s">
        <v>198</v>
      </c>
      <c r="D59" s="2" t="s">
        <v>200</v>
      </c>
      <c r="E59" s="2" t="s">
        <v>450</v>
      </c>
      <c r="F59" s="139">
        <v>15</v>
      </c>
      <c r="G59" s="140">
        <v>0</v>
      </c>
      <c r="H59" s="140">
        <v>0</v>
      </c>
      <c r="I59" s="140">
        <v>0</v>
      </c>
      <c r="J59" s="140">
        <f t="shared" si="0"/>
        <v>15</v>
      </c>
      <c r="K59" s="3"/>
    </row>
    <row r="60" spans="1:11" x14ac:dyDescent="0.3">
      <c r="A60" s="4" t="s">
        <v>451</v>
      </c>
      <c r="B60" s="138" t="s">
        <v>363</v>
      </c>
      <c r="C60" s="2" t="s">
        <v>208</v>
      </c>
      <c r="D60" s="2" t="s">
        <v>197</v>
      </c>
      <c r="E60" s="2" t="s">
        <v>439</v>
      </c>
      <c r="F60" s="139">
        <v>2</v>
      </c>
      <c r="G60" s="140">
        <v>2</v>
      </c>
      <c r="H60" s="140">
        <v>0</v>
      </c>
      <c r="I60" s="140">
        <v>0</v>
      </c>
      <c r="J60" s="140">
        <f t="shared" si="0"/>
        <v>4</v>
      </c>
      <c r="K60" s="3"/>
    </row>
    <row r="61" spans="1:11" x14ac:dyDescent="0.3">
      <c r="A61" s="4" t="s">
        <v>452</v>
      </c>
      <c r="B61" s="138" t="s">
        <v>360</v>
      </c>
      <c r="C61" s="2" t="s">
        <v>188</v>
      </c>
      <c r="D61" s="2" t="s">
        <v>189</v>
      </c>
      <c r="E61" s="2" t="s">
        <v>421</v>
      </c>
      <c r="F61" s="139">
        <v>13</v>
      </c>
      <c r="G61" s="140">
        <v>0</v>
      </c>
      <c r="H61" s="140">
        <v>0</v>
      </c>
      <c r="I61" s="140">
        <v>0</v>
      </c>
      <c r="J61" s="140">
        <f t="shared" si="0"/>
        <v>13</v>
      </c>
      <c r="K61" s="3"/>
    </row>
    <row r="62" spans="1:11" x14ac:dyDescent="0.3">
      <c r="A62" s="4" t="s">
        <v>453</v>
      </c>
      <c r="B62" s="138" t="s">
        <v>360</v>
      </c>
      <c r="C62" s="2" t="s">
        <v>202</v>
      </c>
      <c r="D62" s="2" t="s">
        <v>199</v>
      </c>
      <c r="E62" s="2" t="s">
        <v>454</v>
      </c>
      <c r="F62" s="139">
        <v>0</v>
      </c>
      <c r="G62" s="140">
        <v>0</v>
      </c>
      <c r="H62" s="140">
        <v>3</v>
      </c>
      <c r="I62" s="140">
        <v>0</v>
      </c>
      <c r="J62" s="140">
        <f t="shared" si="0"/>
        <v>3</v>
      </c>
      <c r="K62" s="3"/>
    </row>
    <row r="63" spans="1:11" x14ac:dyDescent="0.3">
      <c r="A63" s="4" t="s">
        <v>455</v>
      </c>
      <c r="B63" s="138" t="s">
        <v>360</v>
      </c>
      <c r="C63" s="2" t="s">
        <v>202</v>
      </c>
      <c r="D63" s="2" t="s">
        <v>204</v>
      </c>
      <c r="E63" s="2" t="s">
        <v>391</v>
      </c>
      <c r="F63" s="139">
        <v>0</v>
      </c>
      <c r="G63" s="140">
        <v>0</v>
      </c>
      <c r="H63" s="140">
        <v>0</v>
      </c>
      <c r="I63" s="140">
        <v>0</v>
      </c>
      <c r="J63" s="140">
        <f t="shared" si="0"/>
        <v>0</v>
      </c>
      <c r="K63" s="3"/>
    </row>
    <row r="64" spans="1:11" x14ac:dyDescent="0.3">
      <c r="A64" s="4" t="s">
        <v>456</v>
      </c>
      <c r="B64" s="138" t="s">
        <v>360</v>
      </c>
      <c r="C64" s="2" t="s">
        <v>202</v>
      </c>
      <c r="D64" s="2" t="s">
        <v>204</v>
      </c>
      <c r="E64" s="2" t="s">
        <v>457</v>
      </c>
      <c r="F64" s="139">
        <v>2</v>
      </c>
      <c r="G64" s="140">
        <v>8</v>
      </c>
      <c r="H64" s="140">
        <v>0</v>
      </c>
      <c r="I64" s="140">
        <v>0</v>
      </c>
      <c r="J64" s="140">
        <f t="shared" si="0"/>
        <v>10</v>
      </c>
      <c r="K64" s="3"/>
    </row>
    <row r="65" spans="1:11" x14ac:dyDescent="0.3">
      <c r="A65" s="4" t="s">
        <v>458</v>
      </c>
      <c r="B65" s="138" t="s">
        <v>360</v>
      </c>
      <c r="C65" s="2" t="s">
        <v>202</v>
      </c>
      <c r="D65" s="2" t="s">
        <v>199</v>
      </c>
      <c r="E65" s="2" t="s">
        <v>459</v>
      </c>
      <c r="F65" s="139">
        <v>12</v>
      </c>
      <c r="G65" s="140">
        <v>0</v>
      </c>
      <c r="H65" s="140">
        <v>0</v>
      </c>
      <c r="I65" s="140">
        <v>2</v>
      </c>
      <c r="J65" s="140">
        <f t="shared" si="0"/>
        <v>14</v>
      </c>
      <c r="K65" s="3"/>
    </row>
    <row r="66" spans="1:11" x14ac:dyDescent="0.3">
      <c r="A66" s="4" t="s">
        <v>460</v>
      </c>
      <c r="B66" s="138" t="s">
        <v>363</v>
      </c>
      <c r="C66" s="2" t="s">
        <v>198</v>
      </c>
      <c r="D66" s="2" t="s">
        <v>200</v>
      </c>
      <c r="E66" s="2" t="s">
        <v>450</v>
      </c>
      <c r="F66" s="139">
        <v>9</v>
      </c>
      <c r="G66" s="140">
        <v>0</v>
      </c>
      <c r="H66" s="140">
        <v>0</v>
      </c>
      <c r="I66" s="140">
        <v>0</v>
      </c>
      <c r="J66" s="140">
        <f t="shared" si="0"/>
        <v>9</v>
      </c>
      <c r="K66" s="3"/>
    </row>
    <row r="67" spans="1:11" x14ac:dyDescent="0.3">
      <c r="A67" s="4" t="s">
        <v>461</v>
      </c>
      <c r="B67" s="138" t="s">
        <v>360</v>
      </c>
      <c r="C67" s="2" t="s">
        <v>202</v>
      </c>
      <c r="D67" s="2" t="s">
        <v>204</v>
      </c>
      <c r="E67" s="2" t="s">
        <v>462</v>
      </c>
      <c r="F67" s="139">
        <v>0</v>
      </c>
      <c r="G67" s="140">
        <v>12</v>
      </c>
      <c r="H67" s="140">
        <v>0</v>
      </c>
      <c r="I67" s="140">
        <v>0</v>
      </c>
      <c r="J67" s="140">
        <f t="shared" si="0"/>
        <v>12</v>
      </c>
      <c r="K67" s="3"/>
    </row>
    <row r="68" spans="1:11" x14ac:dyDescent="0.3">
      <c r="A68" s="4" t="s">
        <v>463</v>
      </c>
      <c r="B68" s="138" t="s">
        <v>363</v>
      </c>
      <c r="C68" s="2" t="s">
        <v>198</v>
      </c>
      <c r="D68" s="2" t="s">
        <v>200</v>
      </c>
      <c r="E68" s="2" t="s">
        <v>450</v>
      </c>
      <c r="F68" s="139">
        <v>1</v>
      </c>
      <c r="G68" s="140">
        <v>4</v>
      </c>
      <c r="H68" s="140">
        <v>0</v>
      </c>
      <c r="I68" s="140">
        <v>0</v>
      </c>
      <c r="J68" s="140">
        <f t="shared" si="0"/>
        <v>5</v>
      </c>
      <c r="K68" s="3"/>
    </row>
    <row r="69" spans="1:11" x14ac:dyDescent="0.3">
      <c r="A69" s="4" t="s">
        <v>464</v>
      </c>
      <c r="B69" s="138" t="s">
        <v>363</v>
      </c>
      <c r="C69" s="2" t="s">
        <v>198</v>
      </c>
      <c r="D69" s="2" t="s">
        <v>199</v>
      </c>
      <c r="E69" s="2" t="s">
        <v>380</v>
      </c>
      <c r="F69" s="139">
        <v>6</v>
      </c>
      <c r="G69" s="140">
        <v>0</v>
      </c>
      <c r="H69" s="140">
        <v>0</v>
      </c>
      <c r="I69" s="140">
        <v>0</v>
      </c>
      <c r="J69" s="140">
        <f t="shared" ref="J69:J132" si="1">SUM(F69:I69)</f>
        <v>6</v>
      </c>
      <c r="K69" s="3"/>
    </row>
    <row r="70" spans="1:11" x14ac:dyDescent="0.3">
      <c r="A70" s="4" t="s">
        <v>465</v>
      </c>
      <c r="B70" s="138" t="s">
        <v>360</v>
      </c>
      <c r="C70" s="2" t="s">
        <v>209</v>
      </c>
      <c r="D70" s="2" t="s">
        <v>207</v>
      </c>
      <c r="E70" s="2" t="s">
        <v>374</v>
      </c>
      <c r="F70" s="139">
        <v>13</v>
      </c>
      <c r="G70" s="140">
        <v>0</v>
      </c>
      <c r="H70" s="140">
        <v>0</v>
      </c>
      <c r="I70" s="140">
        <v>22</v>
      </c>
      <c r="J70" s="140">
        <f t="shared" si="1"/>
        <v>35</v>
      </c>
      <c r="K70" s="3"/>
    </row>
    <row r="71" spans="1:11" x14ac:dyDescent="0.3">
      <c r="A71" s="4" t="s">
        <v>466</v>
      </c>
      <c r="B71" s="138" t="s">
        <v>360</v>
      </c>
      <c r="C71" s="2" t="s">
        <v>202</v>
      </c>
      <c r="D71" s="2" t="s">
        <v>199</v>
      </c>
      <c r="E71" s="2" t="s">
        <v>415</v>
      </c>
      <c r="F71" s="139">
        <v>4</v>
      </c>
      <c r="G71" s="140">
        <v>21</v>
      </c>
      <c r="H71" s="140">
        <v>0</v>
      </c>
      <c r="I71" s="140">
        <v>0</v>
      </c>
      <c r="J71" s="140">
        <f t="shared" si="1"/>
        <v>25</v>
      </c>
      <c r="K71" s="3"/>
    </row>
    <row r="72" spans="1:11" x14ac:dyDescent="0.3">
      <c r="A72" s="4" t="s">
        <v>467</v>
      </c>
      <c r="B72" s="138" t="s">
        <v>363</v>
      </c>
      <c r="C72" s="2" t="s">
        <v>198</v>
      </c>
      <c r="D72" s="2" t="s">
        <v>197</v>
      </c>
      <c r="E72" s="2" t="s">
        <v>409</v>
      </c>
      <c r="F72" s="139">
        <v>7</v>
      </c>
      <c r="G72" s="140">
        <v>20</v>
      </c>
      <c r="H72" s="140">
        <v>0</v>
      </c>
      <c r="I72" s="140">
        <v>0</v>
      </c>
      <c r="J72" s="140">
        <f t="shared" si="1"/>
        <v>27</v>
      </c>
      <c r="K72" s="3"/>
    </row>
    <row r="73" spans="1:11" x14ac:dyDescent="0.3">
      <c r="A73" s="4" t="s">
        <v>468</v>
      </c>
      <c r="B73" s="138" t="s">
        <v>360</v>
      </c>
      <c r="C73" s="2" t="s">
        <v>202</v>
      </c>
      <c r="D73" s="2" t="s">
        <v>204</v>
      </c>
      <c r="E73" s="2" t="s">
        <v>462</v>
      </c>
      <c r="F73" s="139">
        <v>2</v>
      </c>
      <c r="G73" s="140">
        <v>0</v>
      </c>
      <c r="H73" s="140">
        <v>0</v>
      </c>
      <c r="I73" s="140">
        <v>0</v>
      </c>
      <c r="J73" s="140">
        <f t="shared" si="1"/>
        <v>2</v>
      </c>
      <c r="K73" s="3"/>
    </row>
    <row r="74" spans="1:11" x14ac:dyDescent="0.3">
      <c r="A74" s="4" t="s">
        <v>469</v>
      </c>
      <c r="B74" s="138" t="s">
        <v>360</v>
      </c>
      <c r="C74" s="2" t="s">
        <v>202</v>
      </c>
      <c r="D74" s="2" t="s">
        <v>204</v>
      </c>
      <c r="E74" s="2" t="s">
        <v>412</v>
      </c>
      <c r="F74" s="139">
        <v>12</v>
      </c>
      <c r="G74" s="140">
        <v>0</v>
      </c>
      <c r="H74" s="140">
        <v>0</v>
      </c>
      <c r="I74" s="140">
        <v>0</v>
      </c>
      <c r="J74" s="140">
        <f t="shared" si="1"/>
        <v>12</v>
      </c>
      <c r="K74" s="3"/>
    </row>
    <row r="75" spans="1:11" x14ac:dyDescent="0.3">
      <c r="A75" s="4" t="s">
        <v>470</v>
      </c>
      <c r="B75" s="138" t="s">
        <v>360</v>
      </c>
      <c r="C75" s="2" t="s">
        <v>202</v>
      </c>
      <c r="D75" s="2" t="s">
        <v>204</v>
      </c>
      <c r="E75" s="2" t="s">
        <v>471</v>
      </c>
      <c r="F75" s="139">
        <v>1</v>
      </c>
      <c r="G75" s="140">
        <v>0</v>
      </c>
      <c r="H75" s="140">
        <v>0</v>
      </c>
      <c r="I75" s="140">
        <v>0</v>
      </c>
      <c r="J75" s="140">
        <f t="shared" si="1"/>
        <v>1</v>
      </c>
      <c r="K75" s="3"/>
    </row>
    <row r="76" spans="1:11" x14ac:dyDescent="0.3">
      <c r="A76" s="4" t="s">
        <v>472</v>
      </c>
      <c r="B76" s="138" t="s">
        <v>360</v>
      </c>
      <c r="C76" s="2" t="s">
        <v>202</v>
      </c>
      <c r="D76" s="2" t="s">
        <v>199</v>
      </c>
      <c r="E76" s="2" t="s">
        <v>473</v>
      </c>
      <c r="F76" s="139">
        <v>17</v>
      </c>
      <c r="G76" s="140">
        <v>0</v>
      </c>
      <c r="H76" s="140">
        <v>0</v>
      </c>
      <c r="I76" s="140">
        <v>0</v>
      </c>
      <c r="J76" s="140">
        <f t="shared" si="1"/>
        <v>17</v>
      </c>
      <c r="K76" s="3"/>
    </row>
    <row r="77" spans="1:11" x14ac:dyDescent="0.3">
      <c r="A77" s="4" t="s">
        <v>474</v>
      </c>
      <c r="B77" s="138" t="s">
        <v>363</v>
      </c>
      <c r="C77" s="2" t="s">
        <v>198</v>
      </c>
      <c r="D77" s="2" t="s">
        <v>199</v>
      </c>
      <c r="E77" s="2" t="s">
        <v>402</v>
      </c>
      <c r="F77" s="139">
        <v>12</v>
      </c>
      <c r="G77" s="140">
        <v>0</v>
      </c>
      <c r="H77" s="140">
        <v>0</v>
      </c>
      <c r="I77" s="140">
        <v>0</v>
      </c>
      <c r="J77" s="140">
        <f t="shared" si="1"/>
        <v>12</v>
      </c>
      <c r="K77" s="3"/>
    </row>
    <row r="78" spans="1:11" x14ac:dyDescent="0.3">
      <c r="A78" s="4" t="s">
        <v>475</v>
      </c>
      <c r="B78" s="138" t="s">
        <v>360</v>
      </c>
      <c r="C78" s="2" t="s">
        <v>202</v>
      </c>
      <c r="D78" s="2" t="s">
        <v>199</v>
      </c>
      <c r="E78" s="2" t="s">
        <v>393</v>
      </c>
      <c r="F78" s="139">
        <v>6</v>
      </c>
      <c r="G78" s="140">
        <v>0</v>
      </c>
      <c r="H78" s="140">
        <v>0</v>
      </c>
      <c r="I78" s="140">
        <v>0</v>
      </c>
      <c r="J78" s="140">
        <f t="shared" si="1"/>
        <v>6</v>
      </c>
      <c r="K78" s="3"/>
    </row>
    <row r="79" spans="1:11" x14ac:dyDescent="0.3">
      <c r="A79" s="4" t="s">
        <v>476</v>
      </c>
      <c r="B79" s="138" t="s">
        <v>360</v>
      </c>
      <c r="C79" s="2" t="s">
        <v>202</v>
      </c>
      <c r="D79" s="2" t="s">
        <v>204</v>
      </c>
      <c r="E79" s="2" t="s">
        <v>389</v>
      </c>
      <c r="F79" s="139">
        <v>3</v>
      </c>
      <c r="G79" s="140">
        <v>0</v>
      </c>
      <c r="H79" s="140">
        <v>0</v>
      </c>
      <c r="I79" s="140">
        <v>0</v>
      </c>
      <c r="J79" s="140">
        <f t="shared" si="1"/>
        <v>3</v>
      </c>
      <c r="K79" s="3"/>
    </row>
    <row r="80" spans="1:11" x14ac:dyDescent="0.3">
      <c r="A80" s="4" t="s">
        <v>477</v>
      </c>
      <c r="B80" s="138" t="s">
        <v>478</v>
      </c>
      <c r="C80" s="127" t="s">
        <v>205</v>
      </c>
      <c r="D80" s="2" t="s">
        <v>196</v>
      </c>
      <c r="E80" s="2" t="s">
        <v>479</v>
      </c>
      <c r="F80" s="139">
        <v>3</v>
      </c>
      <c r="G80" s="140">
        <v>0</v>
      </c>
      <c r="H80" s="140">
        <v>0</v>
      </c>
      <c r="I80" s="140">
        <v>0</v>
      </c>
      <c r="J80" s="140">
        <f t="shared" si="1"/>
        <v>3</v>
      </c>
      <c r="K80" s="3"/>
    </row>
    <row r="81" spans="1:11" x14ac:dyDescent="0.3">
      <c r="A81" s="4" t="s">
        <v>480</v>
      </c>
      <c r="B81" s="138" t="s">
        <v>360</v>
      </c>
      <c r="C81" s="2" t="s">
        <v>202</v>
      </c>
      <c r="D81" s="2" t="s">
        <v>199</v>
      </c>
      <c r="E81" s="2" t="s">
        <v>428</v>
      </c>
      <c r="F81" s="139">
        <v>3</v>
      </c>
      <c r="G81" s="140">
        <v>0</v>
      </c>
      <c r="H81" s="140">
        <v>0</v>
      </c>
      <c r="I81" s="140">
        <v>0</v>
      </c>
      <c r="J81" s="140">
        <f t="shared" si="1"/>
        <v>3</v>
      </c>
      <c r="K81" s="3"/>
    </row>
    <row r="82" spans="1:11" x14ac:dyDescent="0.3">
      <c r="A82" s="4" t="s">
        <v>481</v>
      </c>
      <c r="B82" s="138" t="s">
        <v>363</v>
      </c>
      <c r="C82" s="2" t="s">
        <v>198</v>
      </c>
      <c r="D82" s="2" t="s">
        <v>200</v>
      </c>
      <c r="E82" s="2" t="s">
        <v>372</v>
      </c>
      <c r="F82" s="139">
        <v>1</v>
      </c>
      <c r="G82" s="140">
        <v>0</v>
      </c>
      <c r="H82" s="140">
        <v>0</v>
      </c>
      <c r="I82" s="140">
        <v>0</v>
      </c>
      <c r="J82" s="140">
        <f t="shared" si="1"/>
        <v>1</v>
      </c>
      <c r="K82" s="3"/>
    </row>
    <row r="83" spans="1:11" x14ac:dyDescent="0.3">
      <c r="A83" s="4" t="s">
        <v>482</v>
      </c>
      <c r="B83" s="138" t="s">
        <v>360</v>
      </c>
      <c r="C83" s="2" t="s">
        <v>188</v>
      </c>
      <c r="D83" s="2" t="s">
        <v>189</v>
      </c>
      <c r="E83" s="2" t="s">
        <v>421</v>
      </c>
      <c r="F83" s="139">
        <v>3</v>
      </c>
      <c r="G83" s="140">
        <v>0</v>
      </c>
      <c r="H83" s="140">
        <v>0</v>
      </c>
      <c r="I83" s="140">
        <v>0</v>
      </c>
      <c r="J83" s="140">
        <f t="shared" si="1"/>
        <v>3</v>
      </c>
      <c r="K83" s="3"/>
    </row>
    <row r="84" spans="1:11" x14ac:dyDescent="0.3">
      <c r="A84" s="4" t="s">
        <v>483</v>
      </c>
      <c r="B84" s="138" t="s">
        <v>363</v>
      </c>
      <c r="C84" s="2" t="s">
        <v>198</v>
      </c>
      <c r="D84" s="2" t="s">
        <v>200</v>
      </c>
      <c r="E84" s="2" t="s">
        <v>450</v>
      </c>
      <c r="F84" s="139">
        <v>1</v>
      </c>
      <c r="G84" s="140">
        <v>0</v>
      </c>
      <c r="H84" s="140">
        <v>0</v>
      </c>
      <c r="I84" s="140">
        <v>0</v>
      </c>
      <c r="J84" s="140">
        <f t="shared" si="1"/>
        <v>1</v>
      </c>
      <c r="K84" s="3"/>
    </row>
    <row r="85" spans="1:11" x14ac:dyDescent="0.3">
      <c r="A85" s="4" t="s">
        <v>484</v>
      </c>
      <c r="B85" s="138" t="s">
        <v>360</v>
      </c>
      <c r="C85" s="2" t="s">
        <v>202</v>
      </c>
      <c r="D85" s="2" t="s">
        <v>204</v>
      </c>
      <c r="E85" s="2" t="s">
        <v>471</v>
      </c>
      <c r="F85" s="139">
        <v>15</v>
      </c>
      <c r="G85" s="140">
        <v>2</v>
      </c>
      <c r="H85" s="140">
        <v>0</v>
      </c>
      <c r="I85" s="140">
        <v>0</v>
      </c>
      <c r="J85" s="140">
        <f t="shared" si="1"/>
        <v>17</v>
      </c>
      <c r="K85" s="3"/>
    </row>
    <row r="86" spans="1:11" x14ac:dyDescent="0.3">
      <c r="A86" s="4" t="s">
        <v>485</v>
      </c>
      <c r="B86" s="138" t="s">
        <v>360</v>
      </c>
      <c r="C86" s="2" t="s">
        <v>202</v>
      </c>
      <c r="D86" s="2" t="s">
        <v>204</v>
      </c>
      <c r="E86" s="2" t="s">
        <v>391</v>
      </c>
      <c r="F86" s="139">
        <v>3</v>
      </c>
      <c r="G86" s="140">
        <v>0</v>
      </c>
      <c r="H86" s="140">
        <v>0</v>
      </c>
      <c r="I86" s="140">
        <v>0</v>
      </c>
      <c r="J86" s="140">
        <f t="shared" si="1"/>
        <v>3</v>
      </c>
      <c r="K86" s="3"/>
    </row>
    <row r="87" spans="1:11" x14ac:dyDescent="0.3">
      <c r="A87" s="4" t="s">
        <v>486</v>
      </c>
      <c r="B87" s="138" t="s">
        <v>363</v>
      </c>
      <c r="C87" s="2" t="s">
        <v>198</v>
      </c>
      <c r="D87" s="2" t="s">
        <v>199</v>
      </c>
      <c r="E87" s="2" t="s">
        <v>364</v>
      </c>
      <c r="F87" s="139">
        <v>0</v>
      </c>
      <c r="G87" s="140">
        <v>0</v>
      </c>
      <c r="H87" s="140">
        <v>0</v>
      </c>
      <c r="I87" s="140">
        <v>0</v>
      </c>
      <c r="J87" s="140">
        <f t="shared" si="1"/>
        <v>0</v>
      </c>
      <c r="K87" s="3"/>
    </row>
    <row r="88" spans="1:11" x14ac:dyDescent="0.3">
      <c r="A88" s="4" t="s">
        <v>487</v>
      </c>
      <c r="B88" s="138" t="s">
        <v>360</v>
      </c>
      <c r="C88" s="2" t="s">
        <v>202</v>
      </c>
      <c r="D88" s="2" t="s">
        <v>194</v>
      </c>
      <c r="E88" s="2" t="s">
        <v>488</v>
      </c>
      <c r="F88" s="139">
        <v>3</v>
      </c>
      <c r="G88" s="140">
        <v>4</v>
      </c>
      <c r="H88" s="140">
        <v>0</v>
      </c>
      <c r="I88" s="140">
        <v>0</v>
      </c>
      <c r="J88" s="140">
        <f t="shared" si="1"/>
        <v>7</v>
      </c>
      <c r="K88" s="3"/>
    </row>
    <row r="89" spans="1:11" x14ac:dyDescent="0.3">
      <c r="A89" s="4" t="s">
        <v>489</v>
      </c>
      <c r="B89" s="138" t="s">
        <v>360</v>
      </c>
      <c r="C89" s="2" t="s">
        <v>202</v>
      </c>
      <c r="D89" s="2" t="s">
        <v>204</v>
      </c>
      <c r="E89" s="2" t="s">
        <v>412</v>
      </c>
      <c r="F89" s="139">
        <v>1</v>
      </c>
      <c r="G89" s="140">
        <v>0</v>
      </c>
      <c r="H89" s="140">
        <v>0</v>
      </c>
      <c r="I89" s="140">
        <v>0</v>
      </c>
      <c r="J89" s="140">
        <f t="shared" si="1"/>
        <v>1</v>
      </c>
      <c r="K89" s="3"/>
    </row>
    <row r="90" spans="1:11" x14ac:dyDescent="0.3">
      <c r="A90" s="4" t="s">
        <v>490</v>
      </c>
      <c r="B90" s="138" t="s">
        <v>360</v>
      </c>
      <c r="C90" s="2" t="s">
        <v>202</v>
      </c>
      <c r="D90" s="2" t="s">
        <v>204</v>
      </c>
      <c r="E90" s="2" t="s">
        <v>366</v>
      </c>
      <c r="F90" s="139">
        <v>5</v>
      </c>
      <c r="G90" s="140">
        <v>0</v>
      </c>
      <c r="H90" s="140">
        <v>0</v>
      </c>
      <c r="I90" s="140">
        <v>0</v>
      </c>
      <c r="J90" s="140">
        <f t="shared" si="1"/>
        <v>5</v>
      </c>
      <c r="K90" s="3"/>
    </row>
    <row r="91" spans="1:11" x14ac:dyDescent="0.3">
      <c r="A91" s="4" t="s">
        <v>491</v>
      </c>
      <c r="B91" s="138" t="s">
        <v>360</v>
      </c>
      <c r="C91" s="2" t="s">
        <v>202</v>
      </c>
      <c r="D91" s="2" t="s">
        <v>194</v>
      </c>
      <c r="E91" s="2" t="s">
        <v>488</v>
      </c>
      <c r="F91" s="139">
        <v>2</v>
      </c>
      <c r="G91" s="140">
        <v>0</v>
      </c>
      <c r="H91" s="140">
        <v>0</v>
      </c>
      <c r="I91" s="140">
        <v>0</v>
      </c>
      <c r="J91" s="140">
        <f t="shared" si="1"/>
        <v>2</v>
      </c>
      <c r="K91" s="3"/>
    </row>
    <row r="92" spans="1:11" x14ac:dyDescent="0.3">
      <c r="A92" s="4" t="s">
        <v>492</v>
      </c>
      <c r="B92" s="138" t="s">
        <v>360</v>
      </c>
      <c r="C92" s="2" t="s">
        <v>202</v>
      </c>
      <c r="D92" s="2" t="s">
        <v>204</v>
      </c>
      <c r="E92" s="2" t="s">
        <v>361</v>
      </c>
      <c r="F92" s="139">
        <v>1</v>
      </c>
      <c r="G92" s="140">
        <v>0</v>
      </c>
      <c r="H92" s="140">
        <v>0</v>
      </c>
      <c r="I92" s="140">
        <v>0</v>
      </c>
      <c r="J92" s="140">
        <f t="shared" si="1"/>
        <v>1</v>
      </c>
      <c r="K92" s="3"/>
    </row>
    <row r="93" spans="1:11" x14ac:dyDescent="0.3">
      <c r="A93" s="4" t="s">
        <v>493</v>
      </c>
      <c r="B93" s="138" t="s">
        <v>360</v>
      </c>
      <c r="C93" s="2" t="s">
        <v>202</v>
      </c>
      <c r="D93" s="2" t="s">
        <v>204</v>
      </c>
      <c r="E93" s="2" t="s">
        <v>391</v>
      </c>
      <c r="F93" s="139">
        <v>2</v>
      </c>
      <c r="G93" s="140">
        <v>0</v>
      </c>
      <c r="H93" s="140">
        <v>0</v>
      </c>
      <c r="I93" s="140">
        <v>0</v>
      </c>
      <c r="J93" s="140">
        <f t="shared" si="1"/>
        <v>2</v>
      </c>
      <c r="K93" s="3"/>
    </row>
    <row r="94" spans="1:11" x14ac:dyDescent="0.3">
      <c r="A94" s="4" t="s">
        <v>494</v>
      </c>
      <c r="B94" s="138" t="s">
        <v>360</v>
      </c>
      <c r="C94" s="2" t="s">
        <v>202</v>
      </c>
      <c r="D94" s="2" t="s">
        <v>200</v>
      </c>
      <c r="E94" s="2" t="s">
        <v>417</v>
      </c>
      <c r="F94" s="139">
        <v>11</v>
      </c>
      <c r="G94" s="140">
        <v>0</v>
      </c>
      <c r="H94" s="140">
        <v>0</v>
      </c>
      <c r="I94" s="140">
        <v>0</v>
      </c>
      <c r="J94" s="140">
        <f t="shared" si="1"/>
        <v>11</v>
      </c>
      <c r="K94" s="3"/>
    </row>
    <row r="95" spans="1:11" x14ac:dyDescent="0.3">
      <c r="A95" s="4" t="s">
        <v>495</v>
      </c>
      <c r="B95" s="138" t="s">
        <v>363</v>
      </c>
      <c r="C95" s="2" t="s">
        <v>198</v>
      </c>
      <c r="D95" s="2" t="s">
        <v>200</v>
      </c>
      <c r="E95" s="2" t="s">
        <v>450</v>
      </c>
      <c r="F95" s="139">
        <v>8</v>
      </c>
      <c r="G95" s="140">
        <v>0</v>
      </c>
      <c r="H95" s="140">
        <v>0</v>
      </c>
      <c r="I95" s="140">
        <v>0</v>
      </c>
      <c r="J95" s="140">
        <f t="shared" si="1"/>
        <v>8</v>
      </c>
      <c r="K95" s="3"/>
    </row>
    <row r="96" spans="1:11" x14ac:dyDescent="0.3">
      <c r="A96" s="4" t="s">
        <v>496</v>
      </c>
      <c r="B96" s="138" t="s">
        <v>360</v>
      </c>
      <c r="C96" s="2" t="s">
        <v>188</v>
      </c>
      <c r="D96" s="2" t="s">
        <v>189</v>
      </c>
      <c r="E96" s="2" t="s">
        <v>376</v>
      </c>
      <c r="F96" s="139">
        <v>1</v>
      </c>
      <c r="G96" s="140">
        <v>0</v>
      </c>
      <c r="H96" s="140">
        <v>0</v>
      </c>
      <c r="I96" s="140">
        <v>0</v>
      </c>
      <c r="J96" s="140">
        <f t="shared" si="1"/>
        <v>1</v>
      </c>
      <c r="K96" s="3"/>
    </row>
    <row r="97" spans="1:11" x14ac:dyDescent="0.3">
      <c r="A97" s="4" t="s">
        <v>497</v>
      </c>
      <c r="B97" s="138" t="s">
        <v>478</v>
      </c>
      <c r="C97" s="127" t="s">
        <v>205</v>
      </c>
      <c r="D97" s="2" t="s">
        <v>189</v>
      </c>
      <c r="E97" s="2" t="s">
        <v>498</v>
      </c>
      <c r="F97" s="139">
        <v>7</v>
      </c>
      <c r="G97" s="140">
        <v>0</v>
      </c>
      <c r="H97" s="140">
        <v>0</v>
      </c>
      <c r="I97" s="140">
        <v>0</v>
      </c>
      <c r="J97" s="140">
        <f t="shared" si="1"/>
        <v>7</v>
      </c>
      <c r="K97" s="3"/>
    </row>
    <row r="98" spans="1:11" x14ac:dyDescent="0.3">
      <c r="A98" s="4" t="s">
        <v>499</v>
      </c>
      <c r="B98" s="138" t="s">
        <v>363</v>
      </c>
      <c r="C98" s="2" t="s">
        <v>208</v>
      </c>
      <c r="D98" s="2" t="s">
        <v>195</v>
      </c>
      <c r="E98" s="2" t="s">
        <v>500</v>
      </c>
      <c r="F98" s="139">
        <v>1</v>
      </c>
      <c r="G98" s="140">
        <v>0</v>
      </c>
      <c r="H98" s="140">
        <v>0</v>
      </c>
      <c r="I98" s="140">
        <v>0</v>
      </c>
      <c r="J98" s="140">
        <f t="shared" si="1"/>
        <v>1</v>
      </c>
      <c r="K98" s="3"/>
    </row>
    <row r="99" spans="1:11" x14ac:dyDescent="0.3">
      <c r="A99" s="4" t="s">
        <v>501</v>
      </c>
      <c r="B99" s="138" t="s">
        <v>360</v>
      </c>
      <c r="C99" s="2" t="s">
        <v>188</v>
      </c>
      <c r="D99" s="2" t="s">
        <v>189</v>
      </c>
      <c r="E99" s="2" t="s">
        <v>376</v>
      </c>
      <c r="F99" s="139">
        <v>15</v>
      </c>
      <c r="G99" s="140">
        <v>0</v>
      </c>
      <c r="H99" s="140">
        <v>0</v>
      </c>
      <c r="I99" s="140">
        <v>3</v>
      </c>
      <c r="J99" s="140">
        <f t="shared" si="1"/>
        <v>18</v>
      </c>
      <c r="K99" s="3"/>
    </row>
    <row r="100" spans="1:11" x14ac:dyDescent="0.3">
      <c r="A100" s="4" t="s">
        <v>502</v>
      </c>
      <c r="B100" s="138" t="s">
        <v>363</v>
      </c>
      <c r="C100" s="2" t="s">
        <v>198</v>
      </c>
      <c r="D100" s="2" t="s">
        <v>199</v>
      </c>
      <c r="E100" s="2" t="s">
        <v>364</v>
      </c>
      <c r="F100" s="139">
        <v>1</v>
      </c>
      <c r="G100" s="140">
        <v>0</v>
      </c>
      <c r="H100" s="140">
        <v>0</v>
      </c>
      <c r="I100" s="140">
        <v>0</v>
      </c>
      <c r="J100" s="140">
        <f t="shared" si="1"/>
        <v>1</v>
      </c>
      <c r="K100" s="3"/>
    </row>
    <row r="101" spans="1:11" x14ac:dyDescent="0.3">
      <c r="A101" s="4" t="s">
        <v>503</v>
      </c>
      <c r="B101" s="138" t="s">
        <v>360</v>
      </c>
      <c r="C101" s="2" t="s">
        <v>202</v>
      </c>
      <c r="D101" s="2" t="s">
        <v>204</v>
      </c>
      <c r="E101" s="2" t="s">
        <v>457</v>
      </c>
      <c r="F101" s="139">
        <v>0</v>
      </c>
      <c r="G101" s="140">
        <v>9</v>
      </c>
      <c r="H101" s="140">
        <v>0</v>
      </c>
      <c r="I101" s="140">
        <v>0</v>
      </c>
      <c r="J101" s="140">
        <f t="shared" si="1"/>
        <v>9</v>
      </c>
      <c r="K101" s="3"/>
    </row>
    <row r="102" spans="1:11" x14ac:dyDescent="0.3">
      <c r="A102" s="4" t="s">
        <v>504</v>
      </c>
      <c r="B102" s="138" t="s">
        <v>363</v>
      </c>
      <c r="C102" s="2" t="s">
        <v>198</v>
      </c>
      <c r="D102" s="2" t="s">
        <v>200</v>
      </c>
      <c r="E102" s="2" t="s">
        <v>450</v>
      </c>
      <c r="F102" s="139">
        <v>12</v>
      </c>
      <c r="G102" s="140">
        <v>0</v>
      </c>
      <c r="H102" s="140">
        <v>0</v>
      </c>
      <c r="I102" s="140">
        <v>0</v>
      </c>
      <c r="J102" s="140">
        <f t="shared" si="1"/>
        <v>12</v>
      </c>
      <c r="K102" s="3"/>
    </row>
    <row r="103" spans="1:11" x14ac:dyDescent="0.3">
      <c r="A103" s="4" t="s">
        <v>505</v>
      </c>
      <c r="B103" s="138" t="s">
        <v>360</v>
      </c>
      <c r="C103" s="2" t="s">
        <v>202</v>
      </c>
      <c r="D103" s="2" t="s">
        <v>204</v>
      </c>
      <c r="E103" s="2" t="s">
        <v>412</v>
      </c>
      <c r="F103" s="139">
        <v>2</v>
      </c>
      <c r="G103" s="140">
        <v>0</v>
      </c>
      <c r="H103" s="140">
        <v>0</v>
      </c>
      <c r="I103" s="140">
        <v>0</v>
      </c>
      <c r="J103" s="140">
        <f t="shared" si="1"/>
        <v>2</v>
      </c>
      <c r="K103" s="3"/>
    </row>
    <row r="104" spans="1:11" x14ac:dyDescent="0.3">
      <c r="A104" s="4" t="s">
        <v>506</v>
      </c>
      <c r="B104" s="138" t="s">
        <v>360</v>
      </c>
      <c r="C104" s="2" t="s">
        <v>202</v>
      </c>
      <c r="D104" s="2" t="s">
        <v>199</v>
      </c>
      <c r="E104" s="2" t="s">
        <v>459</v>
      </c>
      <c r="F104" s="139">
        <v>12</v>
      </c>
      <c r="G104" s="140">
        <v>0</v>
      </c>
      <c r="H104" s="140">
        <v>0</v>
      </c>
      <c r="I104" s="140">
        <v>0</v>
      </c>
      <c r="J104" s="140">
        <f t="shared" si="1"/>
        <v>12</v>
      </c>
      <c r="K104" s="3"/>
    </row>
    <row r="105" spans="1:11" x14ac:dyDescent="0.3">
      <c r="A105" s="4" t="s">
        <v>507</v>
      </c>
      <c r="B105" s="138" t="s">
        <v>363</v>
      </c>
      <c r="C105" s="2" t="s">
        <v>208</v>
      </c>
      <c r="D105" s="2" t="s">
        <v>197</v>
      </c>
      <c r="E105" s="2" t="s">
        <v>439</v>
      </c>
      <c r="F105" s="139">
        <v>0</v>
      </c>
      <c r="G105" s="140">
        <v>0</v>
      </c>
      <c r="H105" s="140">
        <v>0</v>
      </c>
      <c r="I105" s="140">
        <v>0</v>
      </c>
      <c r="J105" s="140">
        <f t="shared" si="1"/>
        <v>0</v>
      </c>
      <c r="K105" s="3"/>
    </row>
    <row r="106" spans="1:11" x14ac:dyDescent="0.3">
      <c r="A106" s="4" t="s">
        <v>508</v>
      </c>
      <c r="B106" s="138" t="s">
        <v>360</v>
      </c>
      <c r="C106" s="2" t="s">
        <v>202</v>
      </c>
      <c r="D106" s="2" t="s">
        <v>204</v>
      </c>
      <c r="E106" s="2" t="s">
        <v>412</v>
      </c>
      <c r="F106" s="139">
        <v>5</v>
      </c>
      <c r="G106" s="140">
        <v>0</v>
      </c>
      <c r="H106" s="140">
        <v>0</v>
      </c>
      <c r="I106" s="140">
        <v>0</v>
      </c>
      <c r="J106" s="140">
        <f t="shared" si="1"/>
        <v>5</v>
      </c>
      <c r="K106" s="3"/>
    </row>
    <row r="107" spans="1:11" x14ac:dyDescent="0.3">
      <c r="A107" s="4" t="s">
        <v>509</v>
      </c>
      <c r="B107" s="138" t="s">
        <v>360</v>
      </c>
      <c r="C107" s="2" t="s">
        <v>202</v>
      </c>
      <c r="D107" s="2" t="s">
        <v>199</v>
      </c>
      <c r="E107" s="2" t="s">
        <v>384</v>
      </c>
      <c r="F107" s="139">
        <v>3</v>
      </c>
      <c r="G107" s="140">
        <v>2</v>
      </c>
      <c r="H107" s="140">
        <v>0</v>
      </c>
      <c r="I107" s="140">
        <v>0</v>
      </c>
      <c r="J107" s="140">
        <f t="shared" si="1"/>
        <v>5</v>
      </c>
      <c r="K107" s="3"/>
    </row>
    <row r="108" spans="1:11" x14ac:dyDescent="0.3">
      <c r="A108" s="4" t="s">
        <v>510</v>
      </c>
      <c r="B108" s="138" t="s">
        <v>363</v>
      </c>
      <c r="C108" s="2" t="s">
        <v>208</v>
      </c>
      <c r="D108" s="2" t="s">
        <v>194</v>
      </c>
      <c r="E108" s="2" t="s">
        <v>434</v>
      </c>
      <c r="F108" s="139">
        <v>0</v>
      </c>
      <c r="G108" s="140">
        <v>0</v>
      </c>
      <c r="H108" s="140">
        <v>0</v>
      </c>
      <c r="I108" s="140">
        <v>0</v>
      </c>
      <c r="J108" s="140">
        <f t="shared" si="1"/>
        <v>0</v>
      </c>
      <c r="K108" s="3"/>
    </row>
    <row r="109" spans="1:11" x14ac:dyDescent="0.3">
      <c r="A109" s="4" t="s">
        <v>511</v>
      </c>
      <c r="B109" s="138" t="s">
        <v>363</v>
      </c>
      <c r="C109" s="2" t="s">
        <v>198</v>
      </c>
      <c r="D109" s="2" t="s">
        <v>200</v>
      </c>
      <c r="E109" s="2" t="s">
        <v>450</v>
      </c>
      <c r="F109" s="139">
        <v>1</v>
      </c>
      <c r="G109" s="140">
        <v>0</v>
      </c>
      <c r="H109" s="140">
        <v>0</v>
      </c>
      <c r="I109" s="140">
        <v>0</v>
      </c>
      <c r="J109" s="140">
        <f t="shared" si="1"/>
        <v>1</v>
      </c>
      <c r="K109" s="3"/>
    </row>
    <row r="110" spans="1:11" x14ac:dyDescent="0.3">
      <c r="A110" s="4" t="s">
        <v>512</v>
      </c>
      <c r="B110" s="138" t="s">
        <v>360</v>
      </c>
      <c r="C110" s="2" t="s">
        <v>202</v>
      </c>
      <c r="D110" s="2" t="s">
        <v>204</v>
      </c>
      <c r="E110" s="2" t="s">
        <v>366</v>
      </c>
      <c r="F110" s="139">
        <v>17</v>
      </c>
      <c r="G110" s="140">
        <v>0</v>
      </c>
      <c r="H110" s="140">
        <v>0</v>
      </c>
      <c r="I110" s="140">
        <v>0</v>
      </c>
      <c r="J110" s="140">
        <f t="shared" si="1"/>
        <v>17</v>
      </c>
      <c r="K110" s="3"/>
    </row>
    <row r="111" spans="1:11" x14ac:dyDescent="0.3">
      <c r="A111" s="4" t="s">
        <v>513</v>
      </c>
      <c r="B111" s="138" t="s">
        <v>360</v>
      </c>
      <c r="C111" s="2" t="s">
        <v>188</v>
      </c>
      <c r="D111" s="2" t="s">
        <v>196</v>
      </c>
      <c r="E111" s="2" t="s">
        <v>395</v>
      </c>
      <c r="F111" s="139">
        <v>4</v>
      </c>
      <c r="G111" s="140">
        <v>8</v>
      </c>
      <c r="H111" s="140">
        <v>0</v>
      </c>
      <c r="I111" s="140">
        <v>0</v>
      </c>
      <c r="J111" s="140">
        <f t="shared" si="1"/>
        <v>12</v>
      </c>
      <c r="K111" s="3"/>
    </row>
    <row r="112" spans="1:11" x14ac:dyDescent="0.3">
      <c r="A112" s="4" t="s">
        <v>514</v>
      </c>
      <c r="B112" s="138" t="s">
        <v>360</v>
      </c>
      <c r="C112" s="2" t="s">
        <v>202</v>
      </c>
      <c r="D112" s="2" t="s">
        <v>199</v>
      </c>
      <c r="E112" s="2" t="s">
        <v>459</v>
      </c>
      <c r="F112" s="139">
        <v>0</v>
      </c>
      <c r="G112" s="140">
        <v>21</v>
      </c>
      <c r="H112" s="140">
        <v>0</v>
      </c>
      <c r="I112" s="140">
        <v>0</v>
      </c>
      <c r="J112" s="140">
        <f t="shared" si="1"/>
        <v>21</v>
      </c>
      <c r="K112" s="3"/>
    </row>
    <row r="113" spans="1:11" x14ac:dyDescent="0.3">
      <c r="A113" s="4" t="s">
        <v>515</v>
      </c>
      <c r="B113" s="138" t="s">
        <v>360</v>
      </c>
      <c r="C113" s="2" t="s">
        <v>202</v>
      </c>
      <c r="D113" s="2" t="s">
        <v>204</v>
      </c>
      <c r="E113" s="2" t="s">
        <v>471</v>
      </c>
      <c r="F113" s="139">
        <v>1</v>
      </c>
      <c r="G113" s="140">
        <v>0</v>
      </c>
      <c r="H113" s="140">
        <v>0</v>
      </c>
      <c r="I113" s="140">
        <v>0</v>
      </c>
      <c r="J113" s="140">
        <f t="shared" si="1"/>
        <v>1</v>
      </c>
      <c r="K113" s="3"/>
    </row>
    <row r="114" spans="1:11" x14ac:dyDescent="0.3">
      <c r="A114" s="4" t="s">
        <v>516</v>
      </c>
      <c r="B114" s="138" t="s">
        <v>363</v>
      </c>
      <c r="C114" s="2" t="s">
        <v>198</v>
      </c>
      <c r="D114" s="2" t="s">
        <v>199</v>
      </c>
      <c r="E114" s="2" t="s">
        <v>364</v>
      </c>
      <c r="F114" s="139">
        <v>15</v>
      </c>
      <c r="G114" s="140">
        <v>0</v>
      </c>
      <c r="H114" s="140">
        <v>0</v>
      </c>
      <c r="I114" s="140">
        <v>2</v>
      </c>
      <c r="J114" s="140">
        <f t="shared" si="1"/>
        <v>17</v>
      </c>
      <c r="K114" s="3"/>
    </row>
    <row r="115" spans="1:11" x14ac:dyDescent="0.3">
      <c r="A115" s="4" t="s">
        <v>517</v>
      </c>
      <c r="B115" s="138" t="s">
        <v>360</v>
      </c>
      <c r="C115" s="2" t="s">
        <v>202</v>
      </c>
      <c r="D115" s="2" t="s">
        <v>199</v>
      </c>
      <c r="E115" s="2" t="s">
        <v>415</v>
      </c>
      <c r="F115" s="139">
        <v>2</v>
      </c>
      <c r="G115" s="140">
        <v>6</v>
      </c>
      <c r="H115" s="140">
        <v>0</v>
      </c>
      <c r="I115" s="140">
        <v>0</v>
      </c>
      <c r="J115" s="140">
        <f t="shared" si="1"/>
        <v>8</v>
      </c>
      <c r="K115" s="3"/>
    </row>
    <row r="116" spans="1:11" x14ac:dyDescent="0.3">
      <c r="A116" s="4" t="s">
        <v>518</v>
      </c>
      <c r="B116" s="138" t="s">
        <v>360</v>
      </c>
      <c r="C116" s="2" t="s">
        <v>202</v>
      </c>
      <c r="D116" s="2" t="s">
        <v>199</v>
      </c>
      <c r="E116" s="2" t="s">
        <v>473</v>
      </c>
      <c r="F116" s="139">
        <v>10</v>
      </c>
      <c r="G116" s="140">
        <v>0</v>
      </c>
      <c r="H116" s="140">
        <v>0</v>
      </c>
      <c r="I116" s="140">
        <v>0</v>
      </c>
      <c r="J116" s="140">
        <f t="shared" si="1"/>
        <v>10</v>
      </c>
      <c r="K116" s="3"/>
    </row>
    <row r="117" spans="1:11" x14ac:dyDescent="0.3">
      <c r="A117" s="4" t="s">
        <v>519</v>
      </c>
      <c r="B117" s="138" t="s">
        <v>360</v>
      </c>
      <c r="C117" s="2" t="s">
        <v>202</v>
      </c>
      <c r="D117" s="2" t="s">
        <v>204</v>
      </c>
      <c r="E117" s="2" t="s">
        <v>391</v>
      </c>
      <c r="F117" s="139">
        <v>1</v>
      </c>
      <c r="G117" s="140">
        <v>0</v>
      </c>
      <c r="H117" s="140">
        <v>0</v>
      </c>
      <c r="I117" s="140">
        <v>0</v>
      </c>
      <c r="J117" s="140">
        <f t="shared" si="1"/>
        <v>1</v>
      </c>
      <c r="K117" s="3"/>
    </row>
    <row r="118" spans="1:11" x14ac:dyDescent="0.3">
      <c r="A118" s="4" t="s">
        <v>520</v>
      </c>
      <c r="B118" s="138" t="s">
        <v>360</v>
      </c>
      <c r="C118" s="2" t="s">
        <v>188</v>
      </c>
      <c r="D118" s="2" t="s">
        <v>196</v>
      </c>
      <c r="E118" s="2" t="s">
        <v>395</v>
      </c>
      <c r="F118" s="139">
        <v>14</v>
      </c>
      <c r="G118" s="140">
        <v>0</v>
      </c>
      <c r="H118" s="140">
        <v>0</v>
      </c>
      <c r="I118" s="140">
        <v>0</v>
      </c>
      <c r="J118" s="140">
        <f t="shared" si="1"/>
        <v>14</v>
      </c>
      <c r="K118" s="3"/>
    </row>
    <row r="119" spans="1:11" x14ac:dyDescent="0.3">
      <c r="A119" s="4" t="s">
        <v>521</v>
      </c>
      <c r="B119" s="138" t="s">
        <v>360</v>
      </c>
      <c r="C119" s="2" t="s">
        <v>202</v>
      </c>
      <c r="D119" s="2" t="s">
        <v>204</v>
      </c>
      <c r="E119" s="2" t="s">
        <v>412</v>
      </c>
      <c r="F119" s="139">
        <v>3</v>
      </c>
      <c r="G119" s="140">
        <v>0</v>
      </c>
      <c r="H119" s="140">
        <v>0</v>
      </c>
      <c r="I119" s="140">
        <v>0</v>
      </c>
      <c r="J119" s="140">
        <f t="shared" si="1"/>
        <v>3</v>
      </c>
      <c r="K119" s="3"/>
    </row>
    <row r="120" spans="1:11" x14ac:dyDescent="0.3">
      <c r="A120" s="4" t="s">
        <v>522</v>
      </c>
      <c r="B120" s="138" t="s">
        <v>363</v>
      </c>
      <c r="C120" s="2" t="s">
        <v>198</v>
      </c>
      <c r="D120" s="2" t="s">
        <v>197</v>
      </c>
      <c r="E120" s="2" t="s">
        <v>409</v>
      </c>
      <c r="F120" s="139">
        <v>0</v>
      </c>
      <c r="G120" s="140">
        <v>14</v>
      </c>
      <c r="H120" s="140">
        <v>0</v>
      </c>
      <c r="I120" s="140">
        <v>0</v>
      </c>
      <c r="J120" s="140">
        <f t="shared" si="1"/>
        <v>14</v>
      </c>
      <c r="K120" s="3"/>
    </row>
    <row r="121" spans="1:11" x14ac:dyDescent="0.3">
      <c r="A121" s="4" t="s">
        <v>523</v>
      </c>
      <c r="B121" s="138" t="s">
        <v>360</v>
      </c>
      <c r="C121" s="2" t="s">
        <v>188</v>
      </c>
      <c r="D121" s="2" t="s">
        <v>189</v>
      </c>
      <c r="E121" s="2" t="s">
        <v>421</v>
      </c>
      <c r="F121" s="139">
        <v>4</v>
      </c>
      <c r="G121" s="140">
        <v>0</v>
      </c>
      <c r="H121" s="140">
        <v>3</v>
      </c>
      <c r="I121" s="140">
        <v>0</v>
      </c>
      <c r="J121" s="140">
        <f t="shared" si="1"/>
        <v>7</v>
      </c>
      <c r="K121" s="3"/>
    </row>
    <row r="122" spans="1:11" x14ac:dyDescent="0.3">
      <c r="A122" s="4" t="s">
        <v>524</v>
      </c>
      <c r="B122" s="138" t="s">
        <v>360</v>
      </c>
      <c r="C122" s="2" t="s">
        <v>202</v>
      </c>
      <c r="D122" s="2" t="s">
        <v>200</v>
      </c>
      <c r="E122" s="2" t="s">
        <v>417</v>
      </c>
      <c r="F122" s="139">
        <v>11</v>
      </c>
      <c r="G122" s="140">
        <v>2</v>
      </c>
      <c r="H122" s="140">
        <v>0</v>
      </c>
      <c r="I122" s="140">
        <v>0</v>
      </c>
      <c r="J122" s="140">
        <f t="shared" si="1"/>
        <v>13</v>
      </c>
      <c r="K122" s="3"/>
    </row>
    <row r="123" spans="1:11" x14ac:dyDescent="0.3">
      <c r="A123" s="4" t="s">
        <v>525</v>
      </c>
      <c r="B123" s="138" t="s">
        <v>363</v>
      </c>
      <c r="C123" s="2" t="s">
        <v>208</v>
      </c>
      <c r="D123" s="2" t="s">
        <v>195</v>
      </c>
      <c r="E123" s="2" t="s">
        <v>500</v>
      </c>
      <c r="F123" s="139">
        <v>2</v>
      </c>
      <c r="G123" s="140">
        <v>9</v>
      </c>
      <c r="H123" s="140">
        <v>0</v>
      </c>
      <c r="I123" s="140">
        <v>0</v>
      </c>
      <c r="J123" s="140">
        <f t="shared" si="1"/>
        <v>11</v>
      </c>
      <c r="K123" s="3"/>
    </row>
    <row r="124" spans="1:11" x14ac:dyDescent="0.3">
      <c r="A124" s="4" t="s">
        <v>526</v>
      </c>
      <c r="B124" s="138" t="s">
        <v>360</v>
      </c>
      <c r="C124" s="2" t="s">
        <v>202</v>
      </c>
      <c r="D124" s="2" t="s">
        <v>204</v>
      </c>
      <c r="E124" s="2" t="s">
        <v>389</v>
      </c>
      <c r="F124" s="139">
        <v>1</v>
      </c>
      <c r="G124" s="140">
        <v>0</v>
      </c>
      <c r="H124" s="140">
        <v>0</v>
      </c>
      <c r="I124" s="140">
        <v>0</v>
      </c>
      <c r="J124" s="140">
        <f t="shared" si="1"/>
        <v>1</v>
      </c>
      <c r="K124" s="3"/>
    </row>
    <row r="125" spans="1:11" x14ac:dyDescent="0.3">
      <c r="A125" s="4" t="s">
        <v>527</v>
      </c>
      <c r="B125" s="138" t="s">
        <v>478</v>
      </c>
      <c r="C125" s="127" t="s">
        <v>205</v>
      </c>
      <c r="D125" s="2" t="s">
        <v>196</v>
      </c>
      <c r="E125" s="2" t="s">
        <v>479</v>
      </c>
      <c r="F125" s="139">
        <v>15</v>
      </c>
      <c r="G125" s="140">
        <v>0</v>
      </c>
      <c r="H125" s="140">
        <v>0</v>
      </c>
      <c r="I125" s="140">
        <v>0</v>
      </c>
      <c r="J125" s="140">
        <f t="shared" si="1"/>
        <v>15</v>
      </c>
      <c r="K125" s="3"/>
    </row>
    <row r="126" spans="1:11" x14ac:dyDescent="0.3">
      <c r="A126" s="4" t="s">
        <v>528</v>
      </c>
      <c r="B126" s="138" t="s">
        <v>360</v>
      </c>
      <c r="C126" s="2" t="s">
        <v>202</v>
      </c>
      <c r="D126" s="2" t="s">
        <v>199</v>
      </c>
      <c r="E126" s="2" t="s">
        <v>459</v>
      </c>
      <c r="F126" s="139">
        <v>3</v>
      </c>
      <c r="G126" s="140">
        <v>6</v>
      </c>
      <c r="H126" s="140">
        <v>0</v>
      </c>
      <c r="I126" s="140">
        <v>0</v>
      </c>
      <c r="J126" s="140">
        <f t="shared" si="1"/>
        <v>9</v>
      </c>
      <c r="K126" s="3"/>
    </row>
    <row r="127" spans="1:11" x14ac:dyDescent="0.3">
      <c r="A127" s="4" t="s">
        <v>529</v>
      </c>
      <c r="B127" s="138" t="s">
        <v>360</v>
      </c>
      <c r="C127" s="2" t="s">
        <v>202</v>
      </c>
      <c r="D127" s="2" t="s">
        <v>200</v>
      </c>
      <c r="E127" s="2" t="s">
        <v>417</v>
      </c>
      <c r="F127" s="139">
        <v>3</v>
      </c>
      <c r="G127" s="140">
        <v>0</v>
      </c>
      <c r="H127" s="140">
        <v>0</v>
      </c>
      <c r="I127" s="140">
        <v>0</v>
      </c>
      <c r="J127" s="140">
        <f t="shared" si="1"/>
        <v>3</v>
      </c>
      <c r="K127" s="3"/>
    </row>
    <row r="128" spans="1:11" x14ac:dyDescent="0.3">
      <c r="A128" s="4" t="s">
        <v>530</v>
      </c>
      <c r="B128" s="138" t="s">
        <v>360</v>
      </c>
      <c r="C128" s="2" t="s">
        <v>188</v>
      </c>
      <c r="D128" s="2" t="s">
        <v>189</v>
      </c>
      <c r="E128" s="2" t="s">
        <v>421</v>
      </c>
      <c r="F128" s="139">
        <v>2</v>
      </c>
      <c r="G128" s="140">
        <v>0</v>
      </c>
      <c r="H128" s="140">
        <v>0</v>
      </c>
      <c r="I128" s="140">
        <v>0</v>
      </c>
      <c r="J128" s="140">
        <f t="shared" si="1"/>
        <v>2</v>
      </c>
      <c r="K128" s="3"/>
    </row>
    <row r="129" spans="1:11" x14ac:dyDescent="0.3">
      <c r="A129" s="4" t="s">
        <v>531</v>
      </c>
      <c r="B129" s="138" t="s">
        <v>363</v>
      </c>
      <c r="C129" s="2" t="s">
        <v>198</v>
      </c>
      <c r="D129" s="2" t="s">
        <v>194</v>
      </c>
      <c r="E129" s="2" t="s">
        <v>434</v>
      </c>
      <c r="F129" s="139">
        <v>3</v>
      </c>
      <c r="G129" s="140">
        <v>0</v>
      </c>
      <c r="H129" s="140">
        <v>0</v>
      </c>
      <c r="I129" s="140">
        <v>0</v>
      </c>
      <c r="J129" s="140">
        <f t="shared" si="1"/>
        <v>3</v>
      </c>
      <c r="K129" s="3"/>
    </row>
    <row r="130" spans="1:11" x14ac:dyDescent="0.3">
      <c r="A130" s="4" t="s">
        <v>532</v>
      </c>
      <c r="B130" s="138" t="s">
        <v>360</v>
      </c>
      <c r="C130" s="2" t="s">
        <v>188</v>
      </c>
      <c r="D130" s="2" t="s">
        <v>194</v>
      </c>
      <c r="E130" s="2" t="s">
        <v>488</v>
      </c>
      <c r="F130" s="139">
        <v>6</v>
      </c>
      <c r="G130" s="140">
        <v>0</v>
      </c>
      <c r="H130" s="140">
        <v>0</v>
      </c>
      <c r="I130" s="140">
        <v>0</v>
      </c>
      <c r="J130" s="140">
        <f t="shared" si="1"/>
        <v>6</v>
      </c>
      <c r="K130" s="3"/>
    </row>
    <row r="131" spans="1:11" x14ac:dyDescent="0.3">
      <c r="A131" s="4" t="s">
        <v>533</v>
      </c>
      <c r="B131" s="138" t="s">
        <v>478</v>
      </c>
      <c r="C131" s="127" t="s">
        <v>205</v>
      </c>
      <c r="D131" s="2" t="s">
        <v>196</v>
      </c>
      <c r="E131" s="2" t="s">
        <v>479</v>
      </c>
      <c r="F131" s="139">
        <v>3</v>
      </c>
      <c r="G131" s="140">
        <v>0</v>
      </c>
      <c r="H131" s="140">
        <v>0</v>
      </c>
      <c r="I131" s="140">
        <v>0</v>
      </c>
      <c r="J131" s="140">
        <f t="shared" si="1"/>
        <v>3</v>
      </c>
      <c r="K131" s="3"/>
    </row>
    <row r="132" spans="1:11" x14ac:dyDescent="0.3">
      <c r="A132" s="4" t="s">
        <v>534</v>
      </c>
      <c r="B132" s="138" t="s">
        <v>360</v>
      </c>
      <c r="C132" s="2" t="s">
        <v>202</v>
      </c>
      <c r="D132" s="2" t="s">
        <v>199</v>
      </c>
      <c r="E132" s="2" t="s">
        <v>415</v>
      </c>
      <c r="F132" s="139">
        <v>2</v>
      </c>
      <c r="G132" s="140">
        <v>0</v>
      </c>
      <c r="H132" s="140">
        <v>0</v>
      </c>
      <c r="I132" s="140">
        <v>0</v>
      </c>
      <c r="J132" s="140">
        <f t="shared" si="1"/>
        <v>2</v>
      </c>
      <c r="K132" s="3"/>
    </row>
    <row r="133" spans="1:11" x14ac:dyDescent="0.3">
      <c r="A133" s="4" t="s">
        <v>535</v>
      </c>
      <c r="B133" s="138" t="s">
        <v>360</v>
      </c>
      <c r="C133" s="2" t="s">
        <v>202</v>
      </c>
      <c r="D133" s="2" t="s">
        <v>199</v>
      </c>
      <c r="E133" s="2" t="s">
        <v>393</v>
      </c>
      <c r="F133" s="139">
        <v>9</v>
      </c>
      <c r="G133" s="140">
        <v>0</v>
      </c>
      <c r="H133" s="140">
        <v>0</v>
      </c>
      <c r="I133" s="140">
        <v>0</v>
      </c>
      <c r="J133" s="140">
        <f t="shared" ref="J133:J196" si="2">SUM(F133:I133)</f>
        <v>9</v>
      </c>
      <c r="K133" s="3"/>
    </row>
    <row r="134" spans="1:11" x14ac:dyDescent="0.3">
      <c r="A134" s="4" t="s">
        <v>536</v>
      </c>
      <c r="B134" s="138" t="s">
        <v>360</v>
      </c>
      <c r="C134" s="2" t="s">
        <v>202</v>
      </c>
      <c r="D134" s="2" t="s">
        <v>199</v>
      </c>
      <c r="E134" s="2" t="s">
        <v>378</v>
      </c>
      <c r="F134" s="139">
        <v>3</v>
      </c>
      <c r="G134" s="140">
        <v>0</v>
      </c>
      <c r="H134" s="140">
        <v>0</v>
      </c>
      <c r="I134" s="140">
        <v>0</v>
      </c>
      <c r="J134" s="140">
        <f t="shared" si="2"/>
        <v>3</v>
      </c>
      <c r="K134" s="3"/>
    </row>
    <row r="135" spans="1:11" x14ac:dyDescent="0.3">
      <c r="A135" s="4" t="s">
        <v>537</v>
      </c>
      <c r="B135" s="138" t="s">
        <v>360</v>
      </c>
      <c r="C135" s="2" t="s">
        <v>202</v>
      </c>
      <c r="D135" s="2" t="s">
        <v>204</v>
      </c>
      <c r="E135" s="2" t="s">
        <v>538</v>
      </c>
      <c r="F135" s="139">
        <v>0</v>
      </c>
      <c r="G135" s="140">
        <v>0</v>
      </c>
      <c r="H135" s="140">
        <v>0</v>
      </c>
      <c r="I135" s="140">
        <v>0</v>
      </c>
      <c r="J135" s="140">
        <f t="shared" si="2"/>
        <v>0</v>
      </c>
      <c r="K135" s="3"/>
    </row>
    <row r="136" spans="1:11" x14ac:dyDescent="0.3">
      <c r="A136" s="4" t="s">
        <v>539</v>
      </c>
      <c r="B136" s="138" t="s">
        <v>360</v>
      </c>
      <c r="C136" s="2" t="s">
        <v>202</v>
      </c>
      <c r="D136" s="2" t="s">
        <v>204</v>
      </c>
      <c r="E136" s="2" t="s">
        <v>471</v>
      </c>
      <c r="F136" s="139">
        <v>12</v>
      </c>
      <c r="G136" s="140">
        <v>0</v>
      </c>
      <c r="H136" s="140">
        <v>0</v>
      </c>
      <c r="I136" s="140">
        <v>2</v>
      </c>
      <c r="J136" s="140">
        <f t="shared" si="2"/>
        <v>14</v>
      </c>
      <c r="K136" s="3"/>
    </row>
    <row r="137" spans="1:11" x14ac:dyDescent="0.3">
      <c r="A137" s="4" t="s">
        <v>540</v>
      </c>
      <c r="B137" s="138" t="s">
        <v>363</v>
      </c>
      <c r="C137" s="2" t="s">
        <v>206</v>
      </c>
      <c r="D137" s="2" t="s">
        <v>189</v>
      </c>
      <c r="E137" s="2" t="s">
        <v>541</v>
      </c>
      <c r="F137" s="139">
        <v>1</v>
      </c>
      <c r="G137" s="140">
        <v>0</v>
      </c>
      <c r="H137" s="140">
        <v>0</v>
      </c>
      <c r="I137" s="140">
        <v>0</v>
      </c>
      <c r="J137" s="140">
        <f t="shared" si="2"/>
        <v>1</v>
      </c>
      <c r="K137" s="3"/>
    </row>
    <row r="138" spans="1:11" x14ac:dyDescent="0.3">
      <c r="A138" s="4" t="s">
        <v>542</v>
      </c>
      <c r="B138" s="138" t="s">
        <v>363</v>
      </c>
      <c r="C138" s="2" t="s">
        <v>206</v>
      </c>
      <c r="D138" s="2" t="s">
        <v>207</v>
      </c>
      <c r="E138" s="2" t="s">
        <v>443</v>
      </c>
      <c r="F138" s="139">
        <v>3</v>
      </c>
      <c r="G138" s="140">
        <v>0</v>
      </c>
      <c r="H138" s="140">
        <v>0</v>
      </c>
      <c r="I138" s="140">
        <v>0</v>
      </c>
      <c r="J138" s="140">
        <f t="shared" si="2"/>
        <v>3</v>
      </c>
      <c r="K138" s="3"/>
    </row>
    <row r="139" spans="1:11" x14ac:dyDescent="0.3">
      <c r="A139" s="4" t="s">
        <v>543</v>
      </c>
      <c r="B139" s="138" t="s">
        <v>360</v>
      </c>
      <c r="C139" s="2" t="s">
        <v>188</v>
      </c>
      <c r="D139" s="2" t="s">
        <v>189</v>
      </c>
      <c r="E139" s="2" t="s">
        <v>421</v>
      </c>
      <c r="F139" s="139">
        <v>2</v>
      </c>
      <c r="G139" s="140">
        <v>0</v>
      </c>
      <c r="H139" s="140">
        <v>0</v>
      </c>
      <c r="I139" s="140">
        <v>0</v>
      </c>
      <c r="J139" s="140">
        <f t="shared" si="2"/>
        <v>2</v>
      </c>
      <c r="K139" s="3" t="s">
        <v>544</v>
      </c>
    </row>
    <row r="140" spans="1:11" x14ac:dyDescent="0.3">
      <c r="A140" s="4" t="s">
        <v>545</v>
      </c>
      <c r="B140" s="138" t="s">
        <v>363</v>
      </c>
      <c r="C140" s="2" t="s">
        <v>208</v>
      </c>
      <c r="D140" s="2" t="s">
        <v>195</v>
      </c>
      <c r="E140" s="2" t="s">
        <v>500</v>
      </c>
      <c r="F140" s="139">
        <v>11</v>
      </c>
      <c r="G140" s="140">
        <v>0</v>
      </c>
      <c r="H140" s="140">
        <v>0</v>
      </c>
      <c r="I140" s="140">
        <v>0</v>
      </c>
      <c r="J140" s="140">
        <f t="shared" si="2"/>
        <v>11</v>
      </c>
      <c r="K140" s="3"/>
    </row>
    <row r="141" spans="1:11" x14ac:dyDescent="0.3">
      <c r="A141" s="4" t="s">
        <v>546</v>
      </c>
      <c r="B141" s="138" t="s">
        <v>360</v>
      </c>
      <c r="C141" s="2" t="s">
        <v>202</v>
      </c>
      <c r="D141" s="2" t="s">
        <v>199</v>
      </c>
      <c r="E141" s="2" t="s">
        <v>378</v>
      </c>
      <c r="F141" s="139">
        <v>2</v>
      </c>
      <c r="G141" s="140">
        <v>0</v>
      </c>
      <c r="H141" s="140">
        <v>0</v>
      </c>
      <c r="I141" s="140">
        <v>0</v>
      </c>
      <c r="J141" s="140">
        <f t="shared" si="2"/>
        <v>2</v>
      </c>
      <c r="K141" s="3"/>
    </row>
    <row r="142" spans="1:11" x14ac:dyDescent="0.3">
      <c r="A142" s="4" t="s">
        <v>547</v>
      </c>
      <c r="B142" s="138" t="s">
        <v>363</v>
      </c>
      <c r="C142" s="2" t="s">
        <v>198</v>
      </c>
      <c r="D142" s="2" t="s">
        <v>200</v>
      </c>
      <c r="E142" s="2" t="s">
        <v>372</v>
      </c>
      <c r="F142" s="139">
        <v>5</v>
      </c>
      <c r="G142" s="140">
        <v>0</v>
      </c>
      <c r="H142" s="140">
        <v>0</v>
      </c>
      <c r="I142" s="140">
        <v>0</v>
      </c>
      <c r="J142" s="140">
        <f t="shared" si="2"/>
        <v>5</v>
      </c>
      <c r="K142" s="3"/>
    </row>
    <row r="143" spans="1:11" x14ac:dyDescent="0.3">
      <c r="A143" s="4" t="s">
        <v>548</v>
      </c>
      <c r="B143" s="138" t="s">
        <v>360</v>
      </c>
      <c r="C143" s="2" t="s">
        <v>209</v>
      </c>
      <c r="D143" s="2" t="s">
        <v>197</v>
      </c>
      <c r="E143" s="2" t="s">
        <v>425</v>
      </c>
      <c r="F143" s="139">
        <v>10</v>
      </c>
      <c r="G143" s="140">
        <v>0</v>
      </c>
      <c r="H143" s="140">
        <v>0</v>
      </c>
      <c r="I143" s="140">
        <v>0</v>
      </c>
      <c r="J143" s="140">
        <f t="shared" si="2"/>
        <v>10</v>
      </c>
      <c r="K143" s="3"/>
    </row>
    <row r="144" spans="1:11" x14ac:dyDescent="0.3">
      <c r="A144" s="4" t="s">
        <v>549</v>
      </c>
      <c r="B144" s="138" t="s">
        <v>363</v>
      </c>
      <c r="C144" s="2" t="s">
        <v>198</v>
      </c>
      <c r="D144" s="2" t="s">
        <v>199</v>
      </c>
      <c r="E144" s="2" t="s">
        <v>432</v>
      </c>
      <c r="F144" s="139">
        <v>3</v>
      </c>
      <c r="G144" s="140">
        <v>0</v>
      </c>
      <c r="H144" s="140">
        <v>0</v>
      </c>
      <c r="I144" s="140">
        <v>0</v>
      </c>
      <c r="J144" s="140">
        <f t="shared" si="2"/>
        <v>3</v>
      </c>
      <c r="K144" s="3"/>
    </row>
    <row r="145" spans="1:11" x14ac:dyDescent="0.3">
      <c r="A145" s="4" t="s">
        <v>550</v>
      </c>
      <c r="B145" s="138" t="s">
        <v>360</v>
      </c>
      <c r="C145" s="2" t="s">
        <v>202</v>
      </c>
      <c r="D145" s="2" t="s">
        <v>199</v>
      </c>
      <c r="E145" s="2" t="s">
        <v>415</v>
      </c>
      <c r="F145" s="139">
        <v>4</v>
      </c>
      <c r="G145" s="140">
        <v>0</v>
      </c>
      <c r="H145" s="140">
        <v>0</v>
      </c>
      <c r="I145" s="140">
        <v>0</v>
      </c>
      <c r="J145" s="140">
        <f t="shared" si="2"/>
        <v>4</v>
      </c>
      <c r="K145" s="3"/>
    </row>
    <row r="146" spans="1:11" x14ac:dyDescent="0.3">
      <c r="A146" s="4" t="s">
        <v>551</v>
      </c>
      <c r="B146" s="138" t="s">
        <v>360</v>
      </c>
      <c r="C146" s="2" t="s">
        <v>202</v>
      </c>
      <c r="D146" s="2" t="s">
        <v>204</v>
      </c>
      <c r="E146" s="2" t="s">
        <v>361</v>
      </c>
      <c r="F146" s="139">
        <v>5</v>
      </c>
      <c r="G146" s="140">
        <v>21</v>
      </c>
      <c r="H146" s="140">
        <v>0</v>
      </c>
      <c r="I146" s="140">
        <v>0</v>
      </c>
      <c r="J146" s="140">
        <f t="shared" si="2"/>
        <v>26</v>
      </c>
      <c r="K146" s="3"/>
    </row>
    <row r="147" spans="1:11" x14ac:dyDescent="0.3">
      <c r="A147" s="4" t="s">
        <v>552</v>
      </c>
      <c r="B147" s="138" t="s">
        <v>360</v>
      </c>
      <c r="C147" s="2" t="s">
        <v>202</v>
      </c>
      <c r="D147" s="2" t="s">
        <v>204</v>
      </c>
      <c r="E147" s="2" t="s">
        <v>419</v>
      </c>
      <c r="F147" s="139">
        <v>0</v>
      </c>
      <c r="G147" s="140">
        <v>2</v>
      </c>
      <c r="H147" s="140">
        <v>0</v>
      </c>
      <c r="I147" s="140">
        <v>0</v>
      </c>
      <c r="J147" s="140">
        <f t="shared" si="2"/>
        <v>2</v>
      </c>
      <c r="K147" s="3"/>
    </row>
    <row r="148" spans="1:11" x14ac:dyDescent="0.3">
      <c r="A148" s="4" t="s">
        <v>553</v>
      </c>
      <c r="B148" s="138" t="s">
        <v>360</v>
      </c>
      <c r="C148" s="2" t="s">
        <v>202</v>
      </c>
      <c r="D148" s="2" t="s">
        <v>204</v>
      </c>
      <c r="E148" s="2" t="s">
        <v>471</v>
      </c>
      <c r="F148" s="139">
        <v>5</v>
      </c>
      <c r="G148" s="140">
        <v>0</v>
      </c>
      <c r="H148" s="140">
        <v>0</v>
      </c>
      <c r="I148" s="140">
        <v>0</v>
      </c>
      <c r="J148" s="140">
        <f t="shared" si="2"/>
        <v>5</v>
      </c>
      <c r="K148" s="3"/>
    </row>
    <row r="149" spans="1:11" x14ac:dyDescent="0.3">
      <c r="A149" s="4" t="s">
        <v>554</v>
      </c>
      <c r="B149" s="138" t="s">
        <v>360</v>
      </c>
      <c r="C149" s="2" t="s">
        <v>202</v>
      </c>
      <c r="D149" s="2" t="s">
        <v>200</v>
      </c>
      <c r="E149" s="2" t="s">
        <v>417</v>
      </c>
      <c r="F149" s="139">
        <v>1</v>
      </c>
      <c r="G149" s="140">
        <v>0</v>
      </c>
      <c r="H149" s="140">
        <v>0</v>
      </c>
      <c r="I149" s="140">
        <v>0</v>
      </c>
      <c r="J149" s="140">
        <f t="shared" si="2"/>
        <v>1</v>
      </c>
      <c r="K149" s="3"/>
    </row>
    <row r="150" spans="1:11" x14ac:dyDescent="0.3">
      <c r="A150" s="4" t="s">
        <v>555</v>
      </c>
      <c r="B150" s="138" t="s">
        <v>363</v>
      </c>
      <c r="C150" s="2" t="s">
        <v>198</v>
      </c>
      <c r="D150" s="2" t="s">
        <v>199</v>
      </c>
      <c r="E150" s="2" t="s">
        <v>402</v>
      </c>
      <c r="F150" s="139">
        <v>2</v>
      </c>
      <c r="G150" s="140">
        <v>0</v>
      </c>
      <c r="H150" s="140">
        <v>0</v>
      </c>
      <c r="I150" s="140">
        <v>0</v>
      </c>
      <c r="J150" s="140">
        <f t="shared" si="2"/>
        <v>2</v>
      </c>
      <c r="K150" s="3"/>
    </row>
    <row r="151" spans="1:11" x14ac:dyDescent="0.3">
      <c r="A151" s="4" t="s">
        <v>556</v>
      </c>
      <c r="B151" s="138" t="s">
        <v>360</v>
      </c>
      <c r="C151" s="2" t="s">
        <v>202</v>
      </c>
      <c r="D151" s="2" t="s">
        <v>204</v>
      </c>
      <c r="E151" s="2" t="s">
        <v>370</v>
      </c>
      <c r="F151" s="139">
        <v>17</v>
      </c>
      <c r="G151" s="140">
        <v>0</v>
      </c>
      <c r="H151" s="140">
        <v>0</v>
      </c>
      <c r="I151" s="140">
        <v>0</v>
      </c>
      <c r="J151" s="140">
        <f t="shared" si="2"/>
        <v>17</v>
      </c>
      <c r="K151" s="3"/>
    </row>
    <row r="152" spans="1:11" x14ac:dyDescent="0.3">
      <c r="A152" s="4" t="s">
        <v>557</v>
      </c>
      <c r="B152" s="138" t="s">
        <v>363</v>
      </c>
      <c r="C152" s="2" t="s">
        <v>198</v>
      </c>
      <c r="D152" s="2" t="s">
        <v>200</v>
      </c>
      <c r="E152" s="2" t="s">
        <v>450</v>
      </c>
      <c r="F152" s="139">
        <v>13</v>
      </c>
      <c r="G152" s="140">
        <v>0</v>
      </c>
      <c r="H152" s="140">
        <v>0</v>
      </c>
      <c r="I152" s="140">
        <v>7</v>
      </c>
      <c r="J152" s="140">
        <f t="shared" si="2"/>
        <v>20</v>
      </c>
      <c r="K152" s="3"/>
    </row>
    <row r="153" spans="1:11" x14ac:dyDescent="0.3">
      <c r="A153" s="4" t="s">
        <v>558</v>
      </c>
      <c r="B153" s="138" t="s">
        <v>363</v>
      </c>
      <c r="C153" s="2" t="s">
        <v>198</v>
      </c>
      <c r="D153" s="2" t="s">
        <v>199</v>
      </c>
      <c r="E153" s="2" t="s">
        <v>432</v>
      </c>
      <c r="F153" s="139">
        <v>2</v>
      </c>
      <c r="G153" s="140">
        <v>0</v>
      </c>
      <c r="H153" s="140">
        <v>0</v>
      </c>
      <c r="I153" s="140">
        <v>0</v>
      </c>
      <c r="J153" s="140">
        <f t="shared" si="2"/>
        <v>2</v>
      </c>
      <c r="K153" s="3"/>
    </row>
    <row r="154" spans="1:11" x14ac:dyDescent="0.3">
      <c r="A154" s="4" t="s">
        <v>559</v>
      </c>
      <c r="B154" s="138" t="s">
        <v>360</v>
      </c>
      <c r="C154" s="2" t="s">
        <v>202</v>
      </c>
      <c r="D154" s="2" t="s">
        <v>199</v>
      </c>
      <c r="E154" s="2" t="s">
        <v>378</v>
      </c>
      <c r="F154" s="139">
        <v>10</v>
      </c>
      <c r="G154" s="140">
        <v>0</v>
      </c>
      <c r="H154" s="140">
        <v>0</v>
      </c>
      <c r="I154" s="140">
        <v>0</v>
      </c>
      <c r="J154" s="140">
        <f t="shared" si="2"/>
        <v>10</v>
      </c>
      <c r="K154" s="3"/>
    </row>
    <row r="155" spans="1:11" x14ac:dyDescent="0.3">
      <c r="A155" s="4" t="s">
        <v>560</v>
      </c>
      <c r="B155" s="138" t="s">
        <v>360</v>
      </c>
      <c r="C155" s="2" t="s">
        <v>202</v>
      </c>
      <c r="D155" s="2" t="s">
        <v>200</v>
      </c>
      <c r="E155" s="2" t="s">
        <v>417</v>
      </c>
      <c r="F155" s="139">
        <v>2</v>
      </c>
      <c r="G155" s="140">
        <v>0</v>
      </c>
      <c r="H155" s="140">
        <v>0</v>
      </c>
      <c r="I155" s="140">
        <v>0</v>
      </c>
      <c r="J155" s="140">
        <f t="shared" si="2"/>
        <v>2</v>
      </c>
      <c r="K155" s="3"/>
    </row>
    <row r="156" spans="1:11" x14ac:dyDescent="0.3">
      <c r="A156" s="4" t="s">
        <v>561</v>
      </c>
      <c r="B156" s="138" t="s">
        <v>360</v>
      </c>
      <c r="C156" s="2" t="s">
        <v>202</v>
      </c>
      <c r="D156" s="2" t="s">
        <v>204</v>
      </c>
      <c r="E156" s="2" t="s">
        <v>457</v>
      </c>
      <c r="F156" s="139">
        <v>1</v>
      </c>
      <c r="G156" s="140">
        <v>0</v>
      </c>
      <c r="H156" s="140">
        <v>0</v>
      </c>
      <c r="I156" s="140">
        <v>0</v>
      </c>
      <c r="J156" s="140">
        <f t="shared" si="2"/>
        <v>1</v>
      </c>
      <c r="K156" s="3"/>
    </row>
    <row r="157" spans="1:11" x14ac:dyDescent="0.3">
      <c r="A157" s="4" t="s">
        <v>562</v>
      </c>
      <c r="B157" s="138" t="s">
        <v>360</v>
      </c>
      <c r="C157" s="2" t="s">
        <v>188</v>
      </c>
      <c r="D157" s="2" t="s">
        <v>189</v>
      </c>
      <c r="E157" s="2" t="s">
        <v>387</v>
      </c>
      <c r="F157" s="139">
        <v>8</v>
      </c>
      <c r="G157" s="140">
        <v>0</v>
      </c>
      <c r="H157" s="140">
        <v>0</v>
      </c>
      <c r="I157" s="140">
        <v>0</v>
      </c>
      <c r="J157" s="140">
        <f t="shared" si="2"/>
        <v>8</v>
      </c>
      <c r="K157" s="3"/>
    </row>
    <row r="158" spans="1:11" x14ac:dyDescent="0.3">
      <c r="A158" s="4" t="s">
        <v>563</v>
      </c>
      <c r="B158" s="138" t="s">
        <v>360</v>
      </c>
      <c r="C158" s="2" t="s">
        <v>188</v>
      </c>
      <c r="D158" s="2" t="s">
        <v>195</v>
      </c>
      <c r="E158" s="2" t="s">
        <v>447</v>
      </c>
      <c r="F158" s="139">
        <v>2</v>
      </c>
      <c r="G158" s="140">
        <v>0</v>
      </c>
      <c r="H158" s="140">
        <v>0</v>
      </c>
      <c r="I158" s="140">
        <v>0</v>
      </c>
      <c r="J158" s="140">
        <f t="shared" si="2"/>
        <v>2</v>
      </c>
      <c r="K158" s="3"/>
    </row>
    <row r="159" spans="1:11" x14ac:dyDescent="0.3">
      <c r="A159" s="4" t="s">
        <v>564</v>
      </c>
      <c r="B159" s="138" t="s">
        <v>360</v>
      </c>
      <c r="C159" s="2" t="s">
        <v>202</v>
      </c>
      <c r="D159" s="2" t="s">
        <v>204</v>
      </c>
      <c r="E159" s="2" t="s">
        <v>471</v>
      </c>
      <c r="F159" s="139">
        <v>3</v>
      </c>
      <c r="G159" s="140">
        <v>0</v>
      </c>
      <c r="H159" s="140">
        <v>0</v>
      </c>
      <c r="I159" s="140">
        <v>0</v>
      </c>
      <c r="J159" s="140">
        <f t="shared" si="2"/>
        <v>3</v>
      </c>
      <c r="K159" s="3"/>
    </row>
    <row r="160" spans="1:11" x14ac:dyDescent="0.3">
      <c r="A160" s="4" t="s">
        <v>565</v>
      </c>
      <c r="B160" s="138" t="s">
        <v>363</v>
      </c>
      <c r="C160" s="2" t="s">
        <v>198</v>
      </c>
      <c r="D160" s="2" t="s">
        <v>199</v>
      </c>
      <c r="E160" s="2" t="s">
        <v>402</v>
      </c>
      <c r="F160" s="139">
        <v>11</v>
      </c>
      <c r="G160" s="140">
        <v>0</v>
      </c>
      <c r="H160" s="140">
        <v>0</v>
      </c>
      <c r="I160" s="140">
        <v>0</v>
      </c>
      <c r="J160" s="140">
        <f t="shared" si="2"/>
        <v>11</v>
      </c>
      <c r="K160" s="3"/>
    </row>
    <row r="161" spans="1:11" x14ac:dyDescent="0.3">
      <c r="A161" s="4" t="s">
        <v>566</v>
      </c>
      <c r="B161" s="138" t="s">
        <v>363</v>
      </c>
      <c r="C161" s="2" t="s">
        <v>206</v>
      </c>
      <c r="D161" s="2" t="s">
        <v>189</v>
      </c>
      <c r="E161" s="2" t="s">
        <v>397</v>
      </c>
      <c r="F161" s="139">
        <v>2</v>
      </c>
      <c r="G161" s="140">
        <v>0</v>
      </c>
      <c r="H161" s="140">
        <v>0</v>
      </c>
      <c r="I161" s="140">
        <v>0</v>
      </c>
      <c r="J161" s="140">
        <f t="shared" si="2"/>
        <v>2</v>
      </c>
      <c r="K161" s="3"/>
    </row>
    <row r="162" spans="1:11" x14ac:dyDescent="0.3">
      <c r="A162" s="4" t="s">
        <v>567</v>
      </c>
      <c r="B162" s="138" t="s">
        <v>360</v>
      </c>
      <c r="C162" s="2" t="s">
        <v>202</v>
      </c>
      <c r="D162" s="2" t="s">
        <v>200</v>
      </c>
      <c r="E162" s="2" t="s">
        <v>417</v>
      </c>
      <c r="F162" s="139">
        <v>12</v>
      </c>
      <c r="G162" s="140">
        <v>20</v>
      </c>
      <c r="H162" s="140">
        <v>0</v>
      </c>
      <c r="I162" s="140">
        <v>0</v>
      </c>
      <c r="J162" s="140">
        <f t="shared" si="2"/>
        <v>32</v>
      </c>
      <c r="K162" s="3"/>
    </row>
    <row r="163" spans="1:11" x14ac:dyDescent="0.3">
      <c r="A163" s="4" t="s">
        <v>568</v>
      </c>
      <c r="B163" s="138" t="s">
        <v>360</v>
      </c>
      <c r="C163" s="2" t="s">
        <v>202</v>
      </c>
      <c r="D163" s="2" t="s">
        <v>204</v>
      </c>
      <c r="E163" s="2" t="s">
        <v>462</v>
      </c>
      <c r="F163" s="139">
        <v>10</v>
      </c>
      <c r="G163" s="140">
        <v>0</v>
      </c>
      <c r="H163" s="140">
        <v>0</v>
      </c>
      <c r="I163" s="140">
        <v>0</v>
      </c>
      <c r="J163" s="140">
        <f t="shared" si="2"/>
        <v>10</v>
      </c>
      <c r="K163" s="3"/>
    </row>
    <row r="164" spans="1:11" x14ac:dyDescent="0.3">
      <c r="A164" s="4" t="s">
        <v>569</v>
      </c>
      <c r="B164" s="138" t="s">
        <v>360</v>
      </c>
      <c r="C164" s="2" t="s">
        <v>188</v>
      </c>
      <c r="D164" s="2" t="s">
        <v>189</v>
      </c>
      <c r="E164" s="2" t="s">
        <v>421</v>
      </c>
      <c r="F164" s="139">
        <v>10</v>
      </c>
      <c r="G164" s="140">
        <v>0</v>
      </c>
      <c r="H164" s="140">
        <v>0</v>
      </c>
      <c r="I164" s="140">
        <v>0</v>
      </c>
      <c r="J164" s="140">
        <f t="shared" si="2"/>
        <v>10</v>
      </c>
      <c r="K164" s="3"/>
    </row>
    <row r="165" spans="1:11" x14ac:dyDescent="0.3">
      <c r="A165" s="4" t="s">
        <v>570</v>
      </c>
      <c r="B165" s="138" t="s">
        <v>478</v>
      </c>
      <c r="C165" s="127" t="s">
        <v>205</v>
      </c>
      <c r="D165" s="2" t="s">
        <v>196</v>
      </c>
      <c r="E165" s="2" t="s">
        <v>479</v>
      </c>
      <c r="F165" s="139">
        <v>9</v>
      </c>
      <c r="G165" s="140">
        <v>0</v>
      </c>
      <c r="H165" s="140">
        <v>0</v>
      </c>
      <c r="I165" s="140">
        <v>0</v>
      </c>
      <c r="J165" s="140">
        <f t="shared" si="2"/>
        <v>9</v>
      </c>
      <c r="K165" s="3"/>
    </row>
    <row r="166" spans="1:11" x14ac:dyDescent="0.3">
      <c r="A166" s="4" t="s">
        <v>571</v>
      </c>
      <c r="B166" s="138" t="s">
        <v>360</v>
      </c>
      <c r="C166" s="2" t="s">
        <v>188</v>
      </c>
      <c r="D166" s="2" t="s">
        <v>189</v>
      </c>
      <c r="E166" s="2" t="s">
        <v>387</v>
      </c>
      <c r="F166" s="139">
        <v>3</v>
      </c>
      <c r="G166" s="140">
        <v>0</v>
      </c>
      <c r="H166" s="140">
        <v>0</v>
      </c>
      <c r="I166" s="140">
        <v>0</v>
      </c>
      <c r="J166" s="140">
        <f t="shared" si="2"/>
        <v>3</v>
      </c>
      <c r="K166" s="3"/>
    </row>
    <row r="167" spans="1:11" x14ac:dyDescent="0.3">
      <c r="A167" s="4" t="s">
        <v>572</v>
      </c>
      <c r="B167" s="138" t="s">
        <v>360</v>
      </c>
      <c r="C167" s="2" t="s">
        <v>202</v>
      </c>
      <c r="D167" s="2" t="s">
        <v>199</v>
      </c>
      <c r="E167" s="2" t="s">
        <v>384</v>
      </c>
      <c r="F167" s="139">
        <v>1</v>
      </c>
      <c r="G167" s="140">
        <v>0</v>
      </c>
      <c r="H167" s="140">
        <v>0</v>
      </c>
      <c r="I167" s="140">
        <v>0</v>
      </c>
      <c r="J167" s="140">
        <f t="shared" si="2"/>
        <v>1</v>
      </c>
      <c r="K167" s="3"/>
    </row>
    <row r="168" spans="1:11" x14ac:dyDescent="0.3">
      <c r="A168" s="4" t="s">
        <v>573</v>
      </c>
      <c r="B168" s="138" t="s">
        <v>363</v>
      </c>
      <c r="C168" s="2" t="s">
        <v>206</v>
      </c>
      <c r="D168" s="2" t="s">
        <v>189</v>
      </c>
      <c r="E168" s="2" t="s">
        <v>397</v>
      </c>
      <c r="F168" s="139">
        <v>2</v>
      </c>
      <c r="G168" s="140">
        <v>0</v>
      </c>
      <c r="H168" s="140">
        <v>0</v>
      </c>
      <c r="I168" s="140">
        <v>0</v>
      </c>
      <c r="J168" s="140">
        <f t="shared" si="2"/>
        <v>2</v>
      </c>
      <c r="K168" s="3"/>
    </row>
    <row r="169" spans="1:11" x14ac:dyDescent="0.3">
      <c r="A169" s="4" t="s">
        <v>574</v>
      </c>
      <c r="B169" s="138" t="s">
        <v>360</v>
      </c>
      <c r="C169" s="2" t="s">
        <v>188</v>
      </c>
      <c r="D169" s="2" t="s">
        <v>189</v>
      </c>
      <c r="E169" s="2" t="s">
        <v>421</v>
      </c>
      <c r="F169" s="139">
        <v>10</v>
      </c>
      <c r="G169" s="140">
        <v>0</v>
      </c>
      <c r="H169" s="140">
        <v>0</v>
      </c>
      <c r="I169" s="140">
        <v>0</v>
      </c>
      <c r="J169" s="140">
        <f t="shared" si="2"/>
        <v>10</v>
      </c>
      <c r="K169" s="3"/>
    </row>
    <row r="170" spans="1:11" x14ac:dyDescent="0.3">
      <c r="A170" s="4" t="s">
        <v>575</v>
      </c>
      <c r="B170" s="138" t="s">
        <v>360</v>
      </c>
      <c r="C170" s="2" t="s">
        <v>188</v>
      </c>
      <c r="D170" s="2" t="s">
        <v>195</v>
      </c>
      <c r="E170" s="2" t="s">
        <v>447</v>
      </c>
      <c r="F170" s="139">
        <v>5</v>
      </c>
      <c r="G170" s="140">
        <v>0</v>
      </c>
      <c r="H170" s="140">
        <v>0</v>
      </c>
      <c r="I170" s="140">
        <v>0</v>
      </c>
      <c r="J170" s="140">
        <f t="shared" si="2"/>
        <v>5</v>
      </c>
      <c r="K170" s="3"/>
    </row>
    <row r="171" spans="1:11" x14ac:dyDescent="0.3">
      <c r="A171" s="4" t="s">
        <v>576</v>
      </c>
      <c r="B171" s="138" t="s">
        <v>360</v>
      </c>
      <c r="C171" s="2" t="s">
        <v>202</v>
      </c>
      <c r="D171" s="2" t="s">
        <v>199</v>
      </c>
      <c r="E171" s="2" t="s">
        <v>393</v>
      </c>
      <c r="F171" s="139">
        <v>2</v>
      </c>
      <c r="G171" s="140">
        <v>0</v>
      </c>
      <c r="H171" s="140">
        <v>0</v>
      </c>
      <c r="I171" s="140">
        <v>0</v>
      </c>
      <c r="J171" s="140">
        <f t="shared" si="2"/>
        <v>2</v>
      </c>
      <c r="K171" s="3"/>
    </row>
    <row r="172" spans="1:11" x14ac:dyDescent="0.3">
      <c r="A172" s="4" t="s">
        <v>577</v>
      </c>
      <c r="B172" s="138" t="s">
        <v>360</v>
      </c>
      <c r="C172" s="2" t="s">
        <v>202</v>
      </c>
      <c r="D172" s="127" t="s">
        <v>203</v>
      </c>
      <c r="E172" s="2" t="s">
        <v>399</v>
      </c>
      <c r="F172" s="139">
        <v>4</v>
      </c>
      <c r="G172" s="140">
        <v>3</v>
      </c>
      <c r="H172" s="140">
        <v>0</v>
      </c>
      <c r="I172" s="140">
        <v>0</v>
      </c>
      <c r="J172" s="140">
        <f t="shared" si="2"/>
        <v>7</v>
      </c>
      <c r="K172" s="3"/>
    </row>
    <row r="173" spans="1:11" x14ac:dyDescent="0.3">
      <c r="A173" s="4" t="s">
        <v>578</v>
      </c>
      <c r="B173" s="138" t="s">
        <v>360</v>
      </c>
      <c r="C173" s="2" t="s">
        <v>202</v>
      </c>
      <c r="D173" s="2" t="s">
        <v>204</v>
      </c>
      <c r="E173" s="2" t="s">
        <v>389</v>
      </c>
      <c r="F173" s="139">
        <v>3</v>
      </c>
      <c r="G173" s="140">
        <v>0</v>
      </c>
      <c r="H173" s="140">
        <v>0</v>
      </c>
      <c r="I173" s="140">
        <v>0</v>
      </c>
      <c r="J173" s="140">
        <f t="shared" si="2"/>
        <v>3</v>
      </c>
      <c r="K173" s="3"/>
    </row>
    <row r="174" spans="1:11" x14ac:dyDescent="0.3">
      <c r="A174" s="4" t="s">
        <v>579</v>
      </c>
      <c r="B174" s="138" t="s">
        <v>360</v>
      </c>
      <c r="C174" s="2" t="s">
        <v>202</v>
      </c>
      <c r="D174" s="2" t="s">
        <v>197</v>
      </c>
      <c r="E174" s="2" t="s">
        <v>580</v>
      </c>
      <c r="F174" s="139">
        <v>4</v>
      </c>
      <c r="G174" s="140">
        <v>0</v>
      </c>
      <c r="H174" s="140">
        <v>0</v>
      </c>
      <c r="I174" s="140">
        <v>0</v>
      </c>
      <c r="J174" s="140">
        <f t="shared" si="2"/>
        <v>4</v>
      </c>
      <c r="K174" s="3"/>
    </row>
    <row r="175" spans="1:11" x14ac:dyDescent="0.3">
      <c r="A175" s="4" t="s">
        <v>581</v>
      </c>
      <c r="B175" s="138" t="s">
        <v>360</v>
      </c>
      <c r="C175" s="2" t="s">
        <v>202</v>
      </c>
      <c r="D175" s="2" t="s">
        <v>204</v>
      </c>
      <c r="E175" s="2" t="s">
        <v>389</v>
      </c>
      <c r="F175" s="139">
        <v>0</v>
      </c>
      <c r="G175" s="140">
        <v>6</v>
      </c>
      <c r="H175" s="140">
        <v>0</v>
      </c>
      <c r="I175" s="140">
        <v>0</v>
      </c>
      <c r="J175" s="140">
        <f t="shared" si="2"/>
        <v>6</v>
      </c>
      <c r="K175" s="3"/>
    </row>
    <row r="176" spans="1:11" x14ac:dyDescent="0.3">
      <c r="A176" s="4" t="s">
        <v>582</v>
      </c>
      <c r="B176" s="138" t="s">
        <v>360</v>
      </c>
      <c r="C176" s="2" t="s">
        <v>202</v>
      </c>
      <c r="D176" s="2" t="s">
        <v>204</v>
      </c>
      <c r="E176" s="2" t="s">
        <v>471</v>
      </c>
      <c r="F176" s="139">
        <v>3</v>
      </c>
      <c r="G176" s="140">
        <v>0</v>
      </c>
      <c r="H176" s="140">
        <v>0</v>
      </c>
      <c r="I176" s="140">
        <v>0</v>
      </c>
      <c r="J176" s="140">
        <f t="shared" si="2"/>
        <v>3</v>
      </c>
      <c r="K176" s="3"/>
    </row>
    <row r="177" spans="1:11" x14ac:dyDescent="0.3">
      <c r="A177" s="4" t="s">
        <v>583</v>
      </c>
      <c r="B177" s="138" t="s">
        <v>360</v>
      </c>
      <c r="C177" s="2" t="s">
        <v>202</v>
      </c>
      <c r="D177" s="2" t="s">
        <v>199</v>
      </c>
      <c r="E177" s="2" t="s">
        <v>384</v>
      </c>
      <c r="F177" s="139">
        <v>4</v>
      </c>
      <c r="G177" s="140">
        <v>0</v>
      </c>
      <c r="H177" s="140">
        <v>0</v>
      </c>
      <c r="I177" s="140">
        <v>0</v>
      </c>
      <c r="J177" s="140">
        <f t="shared" si="2"/>
        <v>4</v>
      </c>
      <c r="K177" s="3"/>
    </row>
    <row r="178" spans="1:11" x14ac:dyDescent="0.3">
      <c r="A178" s="4" t="s">
        <v>584</v>
      </c>
      <c r="B178" s="138" t="s">
        <v>360</v>
      </c>
      <c r="C178" s="2" t="s">
        <v>202</v>
      </c>
      <c r="D178" s="2" t="s">
        <v>199</v>
      </c>
      <c r="E178" s="2" t="s">
        <v>473</v>
      </c>
      <c r="F178" s="139">
        <v>3</v>
      </c>
      <c r="G178" s="140">
        <v>3</v>
      </c>
      <c r="H178" s="140">
        <v>0</v>
      </c>
      <c r="I178" s="140">
        <v>0</v>
      </c>
      <c r="J178" s="140">
        <f t="shared" si="2"/>
        <v>6</v>
      </c>
      <c r="K178" s="3"/>
    </row>
    <row r="179" spans="1:11" x14ac:dyDescent="0.3">
      <c r="A179" s="4" t="s">
        <v>585</v>
      </c>
      <c r="B179" s="138" t="s">
        <v>363</v>
      </c>
      <c r="C179" s="2" t="s">
        <v>198</v>
      </c>
      <c r="D179" s="2" t="s">
        <v>200</v>
      </c>
      <c r="E179" s="2" t="s">
        <v>450</v>
      </c>
      <c r="F179" s="139">
        <v>5</v>
      </c>
      <c r="G179" s="140">
        <v>0</v>
      </c>
      <c r="H179" s="140">
        <v>0</v>
      </c>
      <c r="I179" s="140">
        <v>0</v>
      </c>
      <c r="J179" s="140">
        <f t="shared" si="2"/>
        <v>5</v>
      </c>
      <c r="K179" s="3"/>
    </row>
    <row r="180" spans="1:11" x14ac:dyDescent="0.3">
      <c r="A180" s="4" t="s">
        <v>586</v>
      </c>
      <c r="B180" s="138" t="s">
        <v>360</v>
      </c>
      <c r="C180" s="2" t="s">
        <v>209</v>
      </c>
      <c r="D180" s="2" t="s">
        <v>207</v>
      </c>
      <c r="E180" s="2" t="s">
        <v>374</v>
      </c>
      <c r="F180" s="139">
        <v>3</v>
      </c>
      <c r="G180" s="140">
        <v>0</v>
      </c>
      <c r="H180" s="140">
        <v>0</v>
      </c>
      <c r="I180" s="140">
        <v>0</v>
      </c>
      <c r="J180" s="140">
        <f t="shared" si="2"/>
        <v>3</v>
      </c>
      <c r="K180" s="3"/>
    </row>
    <row r="181" spans="1:11" x14ac:dyDescent="0.3">
      <c r="A181" s="4" t="s">
        <v>587</v>
      </c>
      <c r="B181" s="138" t="s">
        <v>360</v>
      </c>
      <c r="C181" s="2" t="s">
        <v>202</v>
      </c>
      <c r="D181" s="2" t="s">
        <v>199</v>
      </c>
      <c r="E181" s="2" t="s">
        <v>459</v>
      </c>
      <c r="F181" s="139">
        <v>3</v>
      </c>
      <c r="G181" s="140">
        <v>0</v>
      </c>
      <c r="H181" s="140">
        <v>0</v>
      </c>
      <c r="I181" s="140">
        <v>0</v>
      </c>
      <c r="J181" s="140">
        <f t="shared" si="2"/>
        <v>3</v>
      </c>
      <c r="K181" s="3"/>
    </row>
    <row r="182" spans="1:11" x14ac:dyDescent="0.3">
      <c r="A182" s="4" t="s">
        <v>588</v>
      </c>
      <c r="B182" s="138" t="s">
        <v>363</v>
      </c>
      <c r="C182" s="2" t="s">
        <v>198</v>
      </c>
      <c r="D182" s="2" t="s">
        <v>200</v>
      </c>
      <c r="E182" s="2" t="s">
        <v>450</v>
      </c>
      <c r="F182" s="139">
        <v>2</v>
      </c>
      <c r="G182" s="140">
        <v>0</v>
      </c>
      <c r="H182" s="140">
        <v>0</v>
      </c>
      <c r="I182" s="140">
        <v>0</v>
      </c>
      <c r="J182" s="140">
        <f t="shared" si="2"/>
        <v>2</v>
      </c>
      <c r="K182" s="3"/>
    </row>
    <row r="183" spans="1:11" x14ac:dyDescent="0.3">
      <c r="A183" s="4" t="s">
        <v>589</v>
      </c>
      <c r="B183" s="138" t="s">
        <v>478</v>
      </c>
      <c r="C183" s="127" t="s">
        <v>205</v>
      </c>
      <c r="D183" s="2" t="s">
        <v>196</v>
      </c>
      <c r="E183" s="2" t="s">
        <v>479</v>
      </c>
      <c r="F183" s="139">
        <v>3</v>
      </c>
      <c r="G183" s="140">
        <v>0</v>
      </c>
      <c r="H183" s="140">
        <v>0</v>
      </c>
      <c r="I183" s="140">
        <v>0</v>
      </c>
      <c r="J183" s="140">
        <f t="shared" si="2"/>
        <v>3</v>
      </c>
      <c r="K183" s="3"/>
    </row>
    <row r="184" spans="1:11" x14ac:dyDescent="0.3">
      <c r="A184" s="4" t="s">
        <v>590</v>
      </c>
      <c r="B184" s="138" t="s">
        <v>363</v>
      </c>
      <c r="C184" s="2" t="s">
        <v>198</v>
      </c>
      <c r="D184" s="2" t="s">
        <v>199</v>
      </c>
      <c r="E184" s="2" t="s">
        <v>364</v>
      </c>
      <c r="F184" s="139">
        <v>17</v>
      </c>
      <c r="G184" s="140">
        <v>0</v>
      </c>
      <c r="H184" s="140">
        <v>0</v>
      </c>
      <c r="I184" s="140">
        <v>0</v>
      </c>
      <c r="J184" s="140">
        <f t="shared" si="2"/>
        <v>17</v>
      </c>
      <c r="K184" s="3"/>
    </row>
    <row r="185" spans="1:11" x14ac:dyDescent="0.3">
      <c r="A185" s="4" t="s">
        <v>591</v>
      </c>
      <c r="B185" s="138" t="s">
        <v>360</v>
      </c>
      <c r="C185" s="2" t="s">
        <v>202</v>
      </c>
      <c r="D185" s="2" t="s">
        <v>204</v>
      </c>
      <c r="E185" s="2" t="s">
        <v>457</v>
      </c>
      <c r="F185" s="139">
        <v>1</v>
      </c>
      <c r="G185" s="140">
        <v>6</v>
      </c>
      <c r="H185" s="140">
        <v>0</v>
      </c>
      <c r="I185" s="140">
        <v>0</v>
      </c>
      <c r="J185" s="140">
        <f t="shared" si="2"/>
        <v>7</v>
      </c>
      <c r="K185" s="3"/>
    </row>
    <row r="186" spans="1:11" x14ac:dyDescent="0.3">
      <c r="A186" s="4" t="s">
        <v>592</v>
      </c>
      <c r="B186" s="138" t="s">
        <v>360</v>
      </c>
      <c r="C186" s="2" t="s">
        <v>188</v>
      </c>
      <c r="D186" s="2" t="s">
        <v>196</v>
      </c>
      <c r="E186" s="2" t="s">
        <v>423</v>
      </c>
      <c r="F186" s="139">
        <v>12</v>
      </c>
      <c r="G186" s="140">
        <v>0</v>
      </c>
      <c r="H186" s="140">
        <v>0</v>
      </c>
      <c r="I186" s="140">
        <v>17</v>
      </c>
      <c r="J186" s="140">
        <f t="shared" si="2"/>
        <v>29</v>
      </c>
      <c r="K186" s="3"/>
    </row>
    <row r="187" spans="1:11" x14ac:dyDescent="0.3">
      <c r="A187" s="4" t="s">
        <v>593</v>
      </c>
      <c r="B187" s="138" t="s">
        <v>363</v>
      </c>
      <c r="C187" s="2" t="s">
        <v>198</v>
      </c>
      <c r="D187" s="2" t="s">
        <v>200</v>
      </c>
      <c r="E187" s="2" t="s">
        <v>372</v>
      </c>
      <c r="F187" s="139">
        <v>0</v>
      </c>
      <c r="G187" s="140">
        <v>0</v>
      </c>
      <c r="H187" s="140">
        <v>0</v>
      </c>
      <c r="I187" s="140">
        <v>0</v>
      </c>
      <c r="J187" s="140">
        <f t="shared" si="2"/>
        <v>0</v>
      </c>
      <c r="K187" s="3"/>
    </row>
    <row r="188" spans="1:11" x14ac:dyDescent="0.3">
      <c r="A188" s="4" t="s">
        <v>594</v>
      </c>
      <c r="B188" s="138" t="s">
        <v>360</v>
      </c>
      <c r="C188" s="2" t="s">
        <v>202</v>
      </c>
      <c r="D188" s="2" t="s">
        <v>204</v>
      </c>
      <c r="E188" s="2" t="s">
        <v>366</v>
      </c>
      <c r="F188" s="139">
        <v>3</v>
      </c>
      <c r="G188" s="140">
        <v>0</v>
      </c>
      <c r="H188" s="140">
        <v>0</v>
      </c>
      <c r="I188" s="140">
        <v>0</v>
      </c>
      <c r="J188" s="140">
        <f t="shared" si="2"/>
        <v>3</v>
      </c>
      <c r="K188" s="3"/>
    </row>
    <row r="189" spans="1:11" x14ac:dyDescent="0.3">
      <c r="A189" s="4" t="s">
        <v>595</v>
      </c>
      <c r="B189" s="138" t="s">
        <v>360</v>
      </c>
      <c r="C189" s="2" t="s">
        <v>202</v>
      </c>
      <c r="D189" s="2" t="s">
        <v>199</v>
      </c>
      <c r="E189" s="2" t="s">
        <v>378</v>
      </c>
      <c r="F189" s="139">
        <v>3</v>
      </c>
      <c r="G189" s="140">
        <v>20</v>
      </c>
      <c r="H189" s="140">
        <v>0</v>
      </c>
      <c r="I189" s="140">
        <v>0</v>
      </c>
      <c r="J189" s="140">
        <f t="shared" si="2"/>
        <v>23</v>
      </c>
      <c r="K189" s="3"/>
    </row>
    <row r="190" spans="1:11" x14ac:dyDescent="0.3">
      <c r="A190" s="4" t="s">
        <v>596</v>
      </c>
      <c r="B190" s="138" t="s">
        <v>360</v>
      </c>
      <c r="C190" s="2" t="s">
        <v>202</v>
      </c>
      <c r="D190" s="2" t="s">
        <v>197</v>
      </c>
      <c r="E190" s="2" t="s">
        <v>580</v>
      </c>
      <c r="F190" s="139">
        <v>5</v>
      </c>
      <c r="G190" s="140">
        <v>0</v>
      </c>
      <c r="H190" s="140">
        <v>0</v>
      </c>
      <c r="I190" s="140">
        <v>0</v>
      </c>
      <c r="J190" s="140">
        <f t="shared" si="2"/>
        <v>5</v>
      </c>
      <c r="K190" s="3"/>
    </row>
    <row r="191" spans="1:11" x14ac:dyDescent="0.3">
      <c r="A191" s="4" t="s">
        <v>597</v>
      </c>
      <c r="B191" s="138" t="s">
        <v>360</v>
      </c>
      <c r="C191" s="2" t="s">
        <v>188</v>
      </c>
      <c r="D191" s="2" t="s">
        <v>195</v>
      </c>
      <c r="E191" s="2" t="s">
        <v>447</v>
      </c>
      <c r="F191" s="139">
        <v>2</v>
      </c>
      <c r="G191" s="140">
        <v>0</v>
      </c>
      <c r="H191" s="140">
        <v>0</v>
      </c>
      <c r="I191" s="140">
        <v>0</v>
      </c>
      <c r="J191" s="140">
        <f t="shared" si="2"/>
        <v>2</v>
      </c>
      <c r="K191" s="3"/>
    </row>
    <row r="192" spans="1:11" x14ac:dyDescent="0.3">
      <c r="A192" s="4" t="s">
        <v>598</v>
      </c>
      <c r="B192" s="138" t="s">
        <v>360</v>
      </c>
      <c r="C192" s="2" t="s">
        <v>202</v>
      </c>
      <c r="D192" s="2" t="s">
        <v>204</v>
      </c>
      <c r="E192" s="2" t="s">
        <v>412</v>
      </c>
      <c r="F192" s="139">
        <v>0</v>
      </c>
      <c r="G192" s="140">
        <v>0</v>
      </c>
      <c r="H192" s="140">
        <v>0</v>
      </c>
      <c r="I192" s="140">
        <v>0</v>
      </c>
      <c r="J192" s="140">
        <f t="shared" si="2"/>
        <v>0</v>
      </c>
      <c r="K192" s="3"/>
    </row>
    <row r="193" spans="1:11" x14ac:dyDescent="0.3">
      <c r="A193" s="4" t="s">
        <v>599</v>
      </c>
      <c r="B193" s="138" t="s">
        <v>360</v>
      </c>
      <c r="C193" s="2" t="s">
        <v>202</v>
      </c>
      <c r="D193" s="2" t="s">
        <v>204</v>
      </c>
      <c r="E193" s="2" t="s">
        <v>471</v>
      </c>
      <c r="F193" s="139">
        <v>1</v>
      </c>
      <c r="G193" s="140">
        <v>0</v>
      </c>
      <c r="H193" s="140">
        <v>0</v>
      </c>
      <c r="I193" s="140">
        <v>0</v>
      </c>
      <c r="J193" s="140">
        <f t="shared" si="2"/>
        <v>1</v>
      </c>
      <c r="K193" s="3"/>
    </row>
    <row r="194" spans="1:11" x14ac:dyDescent="0.3">
      <c r="A194" s="4" t="s">
        <v>600</v>
      </c>
      <c r="B194" s="138" t="s">
        <v>363</v>
      </c>
      <c r="C194" s="2" t="s">
        <v>198</v>
      </c>
      <c r="D194" s="2" t="s">
        <v>194</v>
      </c>
      <c r="E194" s="2" t="s">
        <v>434</v>
      </c>
      <c r="F194" s="139">
        <v>8</v>
      </c>
      <c r="G194" s="140">
        <v>8</v>
      </c>
      <c r="H194" s="140">
        <v>0</v>
      </c>
      <c r="I194" s="140">
        <v>0</v>
      </c>
      <c r="J194" s="140">
        <f t="shared" si="2"/>
        <v>16</v>
      </c>
      <c r="K194" s="3"/>
    </row>
    <row r="195" spans="1:11" x14ac:dyDescent="0.3">
      <c r="A195" s="4" t="s">
        <v>601</v>
      </c>
      <c r="B195" s="138" t="s">
        <v>478</v>
      </c>
      <c r="C195" s="127" t="s">
        <v>205</v>
      </c>
      <c r="D195" s="2" t="s">
        <v>196</v>
      </c>
      <c r="E195" s="2" t="s">
        <v>479</v>
      </c>
      <c r="F195" s="139">
        <v>13</v>
      </c>
      <c r="G195" s="140">
        <v>0</v>
      </c>
      <c r="H195" s="140">
        <v>0</v>
      </c>
      <c r="I195" s="140">
        <v>0</v>
      </c>
      <c r="J195" s="140">
        <f t="shared" si="2"/>
        <v>13</v>
      </c>
      <c r="K195" s="3"/>
    </row>
    <row r="196" spans="1:11" x14ac:dyDescent="0.3">
      <c r="A196" s="4" t="s">
        <v>602</v>
      </c>
      <c r="B196" s="138" t="s">
        <v>360</v>
      </c>
      <c r="C196" s="2" t="s">
        <v>202</v>
      </c>
      <c r="D196" s="2" t="s">
        <v>204</v>
      </c>
      <c r="E196" s="2" t="s">
        <v>412</v>
      </c>
      <c r="F196" s="139">
        <v>0</v>
      </c>
      <c r="G196" s="140">
        <v>0</v>
      </c>
      <c r="H196" s="140">
        <v>0</v>
      </c>
      <c r="I196" s="140">
        <v>0</v>
      </c>
      <c r="J196" s="140">
        <f t="shared" si="2"/>
        <v>0</v>
      </c>
      <c r="K196" s="3"/>
    </row>
    <row r="197" spans="1:11" x14ac:dyDescent="0.3">
      <c r="A197" s="4" t="s">
        <v>603</v>
      </c>
      <c r="B197" s="138" t="s">
        <v>363</v>
      </c>
      <c r="C197" s="2" t="s">
        <v>198</v>
      </c>
      <c r="D197" s="2" t="s">
        <v>194</v>
      </c>
      <c r="E197" s="2" t="s">
        <v>434</v>
      </c>
      <c r="F197" s="139">
        <v>14</v>
      </c>
      <c r="G197" s="140">
        <v>0</v>
      </c>
      <c r="H197" s="140">
        <v>0</v>
      </c>
      <c r="I197" s="140">
        <v>0</v>
      </c>
      <c r="J197" s="140">
        <f t="shared" ref="J197:J260" si="3">SUM(F197:I197)</f>
        <v>14</v>
      </c>
      <c r="K197" s="3"/>
    </row>
    <row r="198" spans="1:11" x14ac:dyDescent="0.3">
      <c r="A198" s="4" t="s">
        <v>604</v>
      </c>
      <c r="B198" s="138" t="s">
        <v>360</v>
      </c>
      <c r="C198" s="2" t="s">
        <v>202</v>
      </c>
      <c r="D198" s="2" t="s">
        <v>204</v>
      </c>
      <c r="E198" s="2" t="s">
        <v>412</v>
      </c>
      <c r="F198" s="139">
        <v>1</v>
      </c>
      <c r="G198" s="140">
        <v>0</v>
      </c>
      <c r="H198" s="140">
        <v>0</v>
      </c>
      <c r="I198" s="140">
        <v>0</v>
      </c>
      <c r="J198" s="140">
        <f t="shared" si="3"/>
        <v>1</v>
      </c>
      <c r="K198" s="3"/>
    </row>
    <row r="199" spans="1:11" x14ac:dyDescent="0.3">
      <c r="A199" s="4" t="s">
        <v>605</v>
      </c>
      <c r="B199" s="138" t="s">
        <v>360</v>
      </c>
      <c r="C199" s="2" t="s">
        <v>202</v>
      </c>
      <c r="D199" s="2" t="s">
        <v>199</v>
      </c>
      <c r="E199" s="2" t="s">
        <v>459</v>
      </c>
      <c r="F199" s="139">
        <v>9</v>
      </c>
      <c r="G199" s="140">
        <v>6</v>
      </c>
      <c r="H199" s="140">
        <v>3</v>
      </c>
      <c r="I199" s="140">
        <v>0</v>
      </c>
      <c r="J199" s="140">
        <f t="shared" si="3"/>
        <v>18</v>
      </c>
      <c r="K199" s="3"/>
    </row>
    <row r="200" spans="1:11" x14ac:dyDescent="0.3">
      <c r="A200" s="4" t="s">
        <v>606</v>
      </c>
      <c r="B200" s="138" t="s">
        <v>360</v>
      </c>
      <c r="C200" s="2" t="s">
        <v>188</v>
      </c>
      <c r="D200" s="2" t="s">
        <v>194</v>
      </c>
      <c r="E200" s="2" t="s">
        <v>488</v>
      </c>
      <c r="F200" s="139">
        <v>11</v>
      </c>
      <c r="G200" s="140">
        <v>14</v>
      </c>
      <c r="H200" s="140">
        <v>0</v>
      </c>
      <c r="I200" s="140">
        <v>0</v>
      </c>
      <c r="J200" s="140">
        <f t="shared" si="3"/>
        <v>25</v>
      </c>
      <c r="K200" s="3"/>
    </row>
    <row r="201" spans="1:11" x14ac:dyDescent="0.3">
      <c r="A201" s="4" t="s">
        <v>607</v>
      </c>
      <c r="B201" s="138" t="s">
        <v>360</v>
      </c>
      <c r="C201" s="2" t="s">
        <v>202</v>
      </c>
      <c r="D201" s="2" t="s">
        <v>199</v>
      </c>
      <c r="E201" s="2" t="s">
        <v>415</v>
      </c>
      <c r="F201" s="139">
        <v>17</v>
      </c>
      <c r="G201" s="140">
        <v>2</v>
      </c>
      <c r="H201" s="140">
        <v>0</v>
      </c>
      <c r="I201" s="140">
        <v>4</v>
      </c>
      <c r="J201" s="140">
        <f t="shared" si="3"/>
        <v>23</v>
      </c>
      <c r="K201" s="3"/>
    </row>
    <row r="202" spans="1:11" x14ac:dyDescent="0.3">
      <c r="A202" s="4" t="s">
        <v>608</v>
      </c>
      <c r="B202" s="138" t="s">
        <v>360</v>
      </c>
      <c r="C202" s="2" t="s">
        <v>188</v>
      </c>
      <c r="D202" s="2" t="s">
        <v>196</v>
      </c>
      <c r="E202" s="2" t="s">
        <v>423</v>
      </c>
      <c r="F202" s="139">
        <v>16</v>
      </c>
      <c r="G202" s="140">
        <v>0</v>
      </c>
      <c r="H202" s="140">
        <v>0</v>
      </c>
      <c r="I202" s="140">
        <v>0</v>
      </c>
      <c r="J202" s="140">
        <f t="shared" si="3"/>
        <v>16</v>
      </c>
      <c r="K202" s="3"/>
    </row>
    <row r="203" spans="1:11" x14ac:dyDescent="0.3">
      <c r="A203" s="4" t="s">
        <v>609</v>
      </c>
      <c r="B203" s="138" t="s">
        <v>360</v>
      </c>
      <c r="C203" s="2" t="s">
        <v>202</v>
      </c>
      <c r="D203" s="2" t="s">
        <v>199</v>
      </c>
      <c r="E203" s="2" t="s">
        <v>428</v>
      </c>
      <c r="F203" s="139">
        <v>1</v>
      </c>
      <c r="G203" s="140">
        <v>0</v>
      </c>
      <c r="H203" s="140">
        <v>3</v>
      </c>
      <c r="I203" s="140">
        <v>0</v>
      </c>
      <c r="J203" s="140">
        <f t="shared" si="3"/>
        <v>4</v>
      </c>
      <c r="K203" s="3"/>
    </row>
    <row r="204" spans="1:11" x14ac:dyDescent="0.3">
      <c r="A204" s="4" t="s">
        <v>610</v>
      </c>
      <c r="B204" s="138" t="s">
        <v>363</v>
      </c>
      <c r="C204" s="2" t="s">
        <v>198</v>
      </c>
      <c r="D204" s="2" t="s">
        <v>199</v>
      </c>
      <c r="E204" s="2" t="s">
        <v>432</v>
      </c>
      <c r="F204" s="139">
        <v>17</v>
      </c>
      <c r="G204" s="140">
        <v>0</v>
      </c>
      <c r="H204" s="140">
        <v>0</v>
      </c>
      <c r="I204" s="140">
        <v>0</v>
      </c>
      <c r="J204" s="140">
        <f t="shared" si="3"/>
        <v>17</v>
      </c>
      <c r="K204" s="3"/>
    </row>
    <row r="205" spans="1:11" x14ac:dyDescent="0.3">
      <c r="A205" s="4" t="s">
        <v>611</v>
      </c>
      <c r="B205" s="138" t="s">
        <v>363</v>
      </c>
      <c r="C205" s="2" t="s">
        <v>198</v>
      </c>
      <c r="D205" s="2" t="s">
        <v>200</v>
      </c>
      <c r="E205" s="2" t="s">
        <v>450</v>
      </c>
      <c r="F205" s="139">
        <v>7</v>
      </c>
      <c r="G205" s="140">
        <v>0</v>
      </c>
      <c r="H205" s="140">
        <v>0</v>
      </c>
      <c r="I205" s="140">
        <v>0</v>
      </c>
      <c r="J205" s="140">
        <f t="shared" si="3"/>
        <v>7</v>
      </c>
      <c r="K205" s="3"/>
    </row>
    <row r="206" spans="1:11" x14ac:dyDescent="0.3">
      <c r="A206" s="4" t="s">
        <v>612</v>
      </c>
      <c r="B206" s="138" t="s">
        <v>363</v>
      </c>
      <c r="C206" s="2" t="s">
        <v>198</v>
      </c>
      <c r="D206" s="2" t="s">
        <v>200</v>
      </c>
      <c r="E206" s="2" t="s">
        <v>372</v>
      </c>
      <c r="F206" s="139">
        <v>11</v>
      </c>
      <c r="G206" s="140">
        <v>0</v>
      </c>
      <c r="H206" s="140">
        <v>0</v>
      </c>
      <c r="I206" s="140">
        <v>13</v>
      </c>
      <c r="J206" s="140">
        <f t="shared" si="3"/>
        <v>24</v>
      </c>
      <c r="K206" s="3"/>
    </row>
    <row r="207" spans="1:11" x14ac:dyDescent="0.3">
      <c r="A207" s="4" t="s">
        <v>613</v>
      </c>
      <c r="B207" s="138" t="s">
        <v>360</v>
      </c>
      <c r="C207" s="2" t="s">
        <v>202</v>
      </c>
      <c r="D207" s="2" t="s">
        <v>199</v>
      </c>
      <c r="E207" s="2" t="s">
        <v>473</v>
      </c>
      <c r="F207" s="139">
        <v>4</v>
      </c>
      <c r="G207" s="140">
        <v>0</v>
      </c>
      <c r="H207" s="140">
        <v>0</v>
      </c>
      <c r="I207" s="140">
        <v>0</v>
      </c>
      <c r="J207" s="140">
        <f t="shared" si="3"/>
        <v>4</v>
      </c>
      <c r="K207" s="3"/>
    </row>
    <row r="208" spans="1:11" x14ac:dyDescent="0.3">
      <c r="A208" s="4" t="s">
        <v>614</v>
      </c>
      <c r="B208" s="138" t="s">
        <v>363</v>
      </c>
      <c r="C208" s="2" t="s">
        <v>208</v>
      </c>
      <c r="D208" s="2" t="s">
        <v>194</v>
      </c>
      <c r="E208" s="2" t="s">
        <v>434</v>
      </c>
      <c r="F208" s="139">
        <v>14</v>
      </c>
      <c r="G208" s="140">
        <v>0</v>
      </c>
      <c r="H208" s="140">
        <v>0</v>
      </c>
      <c r="I208" s="140">
        <v>1</v>
      </c>
      <c r="J208" s="140">
        <f t="shared" si="3"/>
        <v>15</v>
      </c>
      <c r="K208" s="3"/>
    </row>
    <row r="209" spans="1:11" x14ac:dyDescent="0.3">
      <c r="A209" s="4" t="s">
        <v>615</v>
      </c>
      <c r="B209" s="138" t="s">
        <v>360</v>
      </c>
      <c r="C209" s="2" t="s">
        <v>202</v>
      </c>
      <c r="D209" s="2" t="s">
        <v>204</v>
      </c>
      <c r="E209" s="2" t="s">
        <v>462</v>
      </c>
      <c r="F209" s="139">
        <v>2</v>
      </c>
      <c r="G209" s="140">
        <v>0</v>
      </c>
      <c r="H209" s="140">
        <v>0</v>
      </c>
      <c r="I209" s="140">
        <v>0</v>
      </c>
      <c r="J209" s="140">
        <f t="shared" si="3"/>
        <v>2</v>
      </c>
      <c r="K209" s="3"/>
    </row>
    <row r="210" spans="1:11" x14ac:dyDescent="0.3">
      <c r="A210" s="4" t="s">
        <v>616</v>
      </c>
      <c r="B210" s="138" t="s">
        <v>360</v>
      </c>
      <c r="C210" s="2" t="s">
        <v>202</v>
      </c>
      <c r="D210" s="2" t="s">
        <v>204</v>
      </c>
      <c r="E210" s="2" t="s">
        <v>389</v>
      </c>
      <c r="F210" s="139">
        <v>14</v>
      </c>
      <c r="G210" s="140">
        <v>0</v>
      </c>
      <c r="H210" s="140">
        <v>0</v>
      </c>
      <c r="I210" s="140">
        <v>4</v>
      </c>
      <c r="J210" s="140">
        <f t="shared" si="3"/>
        <v>18</v>
      </c>
      <c r="K210" s="3"/>
    </row>
    <row r="211" spans="1:11" x14ac:dyDescent="0.3">
      <c r="A211" s="4" t="s">
        <v>617</v>
      </c>
      <c r="B211" s="138" t="s">
        <v>363</v>
      </c>
      <c r="C211" s="2" t="s">
        <v>198</v>
      </c>
      <c r="D211" s="2" t="s">
        <v>199</v>
      </c>
      <c r="E211" s="2" t="s">
        <v>364</v>
      </c>
      <c r="F211" s="139">
        <v>1</v>
      </c>
      <c r="G211" s="140">
        <v>0</v>
      </c>
      <c r="H211" s="140">
        <v>0</v>
      </c>
      <c r="I211" s="140">
        <v>0</v>
      </c>
      <c r="J211" s="140">
        <f t="shared" si="3"/>
        <v>1</v>
      </c>
      <c r="K211" s="3"/>
    </row>
    <row r="212" spans="1:11" x14ac:dyDescent="0.3">
      <c r="A212" s="4" t="s">
        <v>618</v>
      </c>
      <c r="B212" s="138" t="s">
        <v>360</v>
      </c>
      <c r="C212" s="2" t="s">
        <v>202</v>
      </c>
      <c r="D212" s="2" t="s">
        <v>204</v>
      </c>
      <c r="E212" s="2" t="s">
        <v>471</v>
      </c>
      <c r="F212" s="139">
        <v>16</v>
      </c>
      <c r="G212" s="140">
        <v>0</v>
      </c>
      <c r="H212" s="140">
        <v>0</v>
      </c>
      <c r="I212" s="140">
        <v>0</v>
      </c>
      <c r="J212" s="140">
        <f t="shared" si="3"/>
        <v>16</v>
      </c>
      <c r="K212" s="3"/>
    </row>
    <row r="213" spans="1:11" x14ac:dyDescent="0.3">
      <c r="A213" s="4" t="s">
        <v>619</v>
      </c>
      <c r="B213" s="138" t="s">
        <v>360</v>
      </c>
      <c r="C213" s="2" t="s">
        <v>209</v>
      </c>
      <c r="D213" s="2" t="s">
        <v>207</v>
      </c>
      <c r="E213" s="2" t="s">
        <v>374</v>
      </c>
      <c r="F213" s="139">
        <v>7</v>
      </c>
      <c r="G213" s="140">
        <v>0</v>
      </c>
      <c r="H213" s="140">
        <v>0</v>
      </c>
      <c r="I213" s="140">
        <v>0</v>
      </c>
      <c r="J213" s="140">
        <f t="shared" si="3"/>
        <v>7</v>
      </c>
      <c r="K213" s="3"/>
    </row>
    <row r="214" spans="1:11" x14ac:dyDescent="0.3">
      <c r="A214" s="4" t="s">
        <v>620</v>
      </c>
      <c r="B214" s="138" t="s">
        <v>363</v>
      </c>
      <c r="C214" s="2" t="s">
        <v>198</v>
      </c>
      <c r="D214" s="2" t="s">
        <v>200</v>
      </c>
      <c r="E214" s="2" t="s">
        <v>450</v>
      </c>
      <c r="F214" s="139">
        <v>15</v>
      </c>
      <c r="G214" s="140">
        <v>0</v>
      </c>
      <c r="H214" s="140">
        <v>0</v>
      </c>
      <c r="I214" s="140">
        <v>0</v>
      </c>
      <c r="J214" s="140">
        <f t="shared" si="3"/>
        <v>15</v>
      </c>
      <c r="K214" s="3"/>
    </row>
    <row r="215" spans="1:11" x14ac:dyDescent="0.3">
      <c r="A215" s="4" t="s">
        <v>621</v>
      </c>
      <c r="B215" s="138" t="s">
        <v>363</v>
      </c>
      <c r="C215" s="2" t="s">
        <v>208</v>
      </c>
      <c r="D215" s="2" t="s">
        <v>195</v>
      </c>
      <c r="E215" s="2" t="s">
        <v>500</v>
      </c>
      <c r="F215" s="139">
        <v>4</v>
      </c>
      <c r="G215" s="140">
        <v>0</v>
      </c>
      <c r="H215" s="140">
        <v>0</v>
      </c>
      <c r="I215" s="140">
        <v>0</v>
      </c>
      <c r="J215" s="140">
        <f t="shared" si="3"/>
        <v>4</v>
      </c>
      <c r="K215" s="3"/>
    </row>
    <row r="216" spans="1:11" x14ac:dyDescent="0.3">
      <c r="A216" s="4" t="s">
        <v>622</v>
      </c>
      <c r="B216" s="138" t="s">
        <v>363</v>
      </c>
      <c r="C216" s="2" t="s">
        <v>198</v>
      </c>
      <c r="D216" s="2" t="s">
        <v>199</v>
      </c>
      <c r="E216" s="2" t="s">
        <v>432</v>
      </c>
      <c r="F216" s="139">
        <v>8</v>
      </c>
      <c r="G216" s="140">
        <v>0</v>
      </c>
      <c r="H216" s="140">
        <v>0</v>
      </c>
      <c r="I216" s="140">
        <v>0</v>
      </c>
      <c r="J216" s="140">
        <f t="shared" si="3"/>
        <v>8</v>
      </c>
      <c r="K216" s="3"/>
    </row>
    <row r="217" spans="1:11" x14ac:dyDescent="0.3">
      <c r="A217" s="4" t="s">
        <v>623</v>
      </c>
      <c r="B217" s="138" t="s">
        <v>360</v>
      </c>
      <c r="C217" s="2" t="s">
        <v>188</v>
      </c>
      <c r="D217" s="2" t="s">
        <v>189</v>
      </c>
      <c r="E217" s="2" t="s">
        <v>387</v>
      </c>
      <c r="F217" s="139">
        <v>3</v>
      </c>
      <c r="G217" s="140">
        <v>0</v>
      </c>
      <c r="H217" s="140">
        <v>0</v>
      </c>
      <c r="I217" s="140">
        <v>0</v>
      </c>
      <c r="J217" s="140">
        <f t="shared" si="3"/>
        <v>3</v>
      </c>
      <c r="K217" s="3"/>
    </row>
    <row r="218" spans="1:11" x14ac:dyDescent="0.3">
      <c r="A218" s="4" t="s">
        <v>624</v>
      </c>
      <c r="B218" s="138" t="s">
        <v>360</v>
      </c>
      <c r="C218" s="2" t="s">
        <v>202</v>
      </c>
      <c r="D218" s="2" t="s">
        <v>199</v>
      </c>
      <c r="E218" s="2" t="s">
        <v>428</v>
      </c>
      <c r="F218" s="139">
        <v>0</v>
      </c>
      <c r="G218" s="140">
        <v>0</v>
      </c>
      <c r="H218" s="140">
        <v>0</v>
      </c>
      <c r="I218" s="140">
        <v>0</v>
      </c>
      <c r="J218" s="140">
        <f t="shared" si="3"/>
        <v>0</v>
      </c>
      <c r="K218" s="3"/>
    </row>
    <row r="219" spans="1:11" x14ac:dyDescent="0.3">
      <c r="A219" s="4" t="s">
        <v>625</v>
      </c>
      <c r="B219" s="138" t="s">
        <v>360</v>
      </c>
      <c r="C219" s="2" t="s">
        <v>188</v>
      </c>
      <c r="D219" s="2" t="s">
        <v>195</v>
      </c>
      <c r="E219" s="2" t="s">
        <v>447</v>
      </c>
      <c r="F219" s="139">
        <v>1</v>
      </c>
      <c r="G219" s="140">
        <v>0</v>
      </c>
      <c r="H219" s="140">
        <v>0</v>
      </c>
      <c r="I219" s="140">
        <v>0</v>
      </c>
      <c r="J219" s="140">
        <f t="shared" si="3"/>
        <v>1</v>
      </c>
      <c r="K219" s="3"/>
    </row>
    <row r="220" spans="1:11" x14ac:dyDescent="0.3">
      <c r="A220" s="4" t="s">
        <v>626</v>
      </c>
      <c r="B220" s="138" t="s">
        <v>363</v>
      </c>
      <c r="C220" s="2" t="s">
        <v>206</v>
      </c>
      <c r="D220" s="2" t="s">
        <v>207</v>
      </c>
      <c r="E220" s="2" t="s">
        <v>443</v>
      </c>
      <c r="F220" s="139">
        <v>2</v>
      </c>
      <c r="G220" s="140">
        <v>0</v>
      </c>
      <c r="H220" s="140">
        <v>0</v>
      </c>
      <c r="I220" s="140">
        <v>0</v>
      </c>
      <c r="J220" s="140">
        <f t="shared" si="3"/>
        <v>2</v>
      </c>
      <c r="K220" s="3"/>
    </row>
    <row r="221" spans="1:11" x14ac:dyDescent="0.3">
      <c r="A221" s="4" t="s">
        <v>627</v>
      </c>
      <c r="B221" s="138" t="s">
        <v>360</v>
      </c>
      <c r="C221" s="2" t="s">
        <v>209</v>
      </c>
      <c r="D221" s="2" t="s">
        <v>207</v>
      </c>
      <c r="E221" s="2" t="s">
        <v>382</v>
      </c>
      <c r="F221" s="139">
        <v>3</v>
      </c>
      <c r="G221" s="140">
        <v>0</v>
      </c>
      <c r="H221" s="140">
        <v>0</v>
      </c>
      <c r="I221" s="140">
        <v>0</v>
      </c>
      <c r="J221" s="140">
        <f t="shared" si="3"/>
        <v>3</v>
      </c>
      <c r="K221" s="3"/>
    </row>
    <row r="222" spans="1:11" x14ac:dyDescent="0.3">
      <c r="A222" s="4" t="s">
        <v>628</v>
      </c>
      <c r="B222" s="138" t="s">
        <v>360</v>
      </c>
      <c r="C222" s="2" t="s">
        <v>202</v>
      </c>
      <c r="D222" s="2" t="s">
        <v>204</v>
      </c>
      <c r="E222" s="2" t="s">
        <v>370</v>
      </c>
      <c r="F222" s="139">
        <v>1</v>
      </c>
      <c r="G222" s="140">
        <v>0</v>
      </c>
      <c r="H222" s="140">
        <v>0</v>
      </c>
      <c r="I222" s="140">
        <v>0</v>
      </c>
      <c r="J222" s="140">
        <f t="shared" si="3"/>
        <v>1</v>
      </c>
      <c r="K222" s="3"/>
    </row>
    <row r="223" spans="1:11" x14ac:dyDescent="0.3">
      <c r="A223" s="4" t="s">
        <v>629</v>
      </c>
      <c r="B223" s="138" t="s">
        <v>360</v>
      </c>
      <c r="C223" s="2" t="s">
        <v>202</v>
      </c>
      <c r="D223" s="2" t="s">
        <v>199</v>
      </c>
      <c r="E223" s="2" t="s">
        <v>415</v>
      </c>
      <c r="F223" s="139">
        <v>0</v>
      </c>
      <c r="G223" s="140">
        <v>0</v>
      </c>
      <c r="H223" s="140">
        <v>0</v>
      </c>
      <c r="I223" s="140">
        <v>0</v>
      </c>
      <c r="J223" s="140">
        <f t="shared" si="3"/>
        <v>0</v>
      </c>
      <c r="K223" s="3"/>
    </row>
    <row r="224" spans="1:11" x14ac:dyDescent="0.3">
      <c r="A224" s="4" t="s">
        <v>630</v>
      </c>
      <c r="B224" s="138" t="s">
        <v>360</v>
      </c>
      <c r="C224" s="2" t="s">
        <v>188</v>
      </c>
      <c r="D224" s="2" t="s">
        <v>189</v>
      </c>
      <c r="E224" s="2" t="s">
        <v>421</v>
      </c>
      <c r="F224" s="139">
        <v>3</v>
      </c>
      <c r="G224" s="140">
        <v>0</v>
      </c>
      <c r="H224" s="140">
        <v>0</v>
      </c>
      <c r="I224" s="140">
        <v>0</v>
      </c>
      <c r="J224" s="140">
        <f t="shared" si="3"/>
        <v>3</v>
      </c>
      <c r="K224" s="3"/>
    </row>
    <row r="225" spans="1:11" x14ac:dyDescent="0.3">
      <c r="A225" s="4" t="s">
        <v>631</v>
      </c>
      <c r="B225" s="138" t="s">
        <v>360</v>
      </c>
      <c r="C225" s="2" t="s">
        <v>202</v>
      </c>
      <c r="D225" s="2" t="s">
        <v>199</v>
      </c>
      <c r="E225" s="2" t="s">
        <v>378</v>
      </c>
      <c r="F225" s="139">
        <v>0</v>
      </c>
      <c r="G225" s="140">
        <v>0</v>
      </c>
      <c r="H225" s="140">
        <v>0</v>
      </c>
      <c r="I225" s="140">
        <v>0</v>
      </c>
      <c r="J225" s="140">
        <f t="shared" si="3"/>
        <v>0</v>
      </c>
      <c r="K225" s="3"/>
    </row>
    <row r="226" spans="1:11" x14ac:dyDescent="0.3">
      <c r="A226" s="4" t="s">
        <v>632</v>
      </c>
      <c r="B226" s="138" t="s">
        <v>360</v>
      </c>
      <c r="C226" s="2" t="s">
        <v>202</v>
      </c>
      <c r="D226" s="2" t="s">
        <v>204</v>
      </c>
      <c r="E226" s="2" t="s">
        <v>370</v>
      </c>
      <c r="F226" s="139">
        <v>1</v>
      </c>
      <c r="G226" s="140">
        <v>0</v>
      </c>
      <c r="H226" s="140">
        <v>0</v>
      </c>
      <c r="I226" s="140">
        <v>0</v>
      </c>
      <c r="J226" s="140">
        <f t="shared" si="3"/>
        <v>1</v>
      </c>
      <c r="K226" s="3"/>
    </row>
    <row r="227" spans="1:11" x14ac:dyDescent="0.3">
      <c r="A227" s="4" t="s">
        <v>633</v>
      </c>
      <c r="B227" s="138" t="s">
        <v>360</v>
      </c>
      <c r="C227" s="2" t="s">
        <v>202</v>
      </c>
      <c r="D227" s="2" t="s">
        <v>204</v>
      </c>
      <c r="E227" s="2" t="s">
        <v>462</v>
      </c>
      <c r="F227" s="139">
        <v>9</v>
      </c>
      <c r="G227" s="140">
        <v>0</v>
      </c>
      <c r="H227" s="140">
        <v>0</v>
      </c>
      <c r="I227" s="140">
        <v>0</v>
      </c>
      <c r="J227" s="140">
        <f t="shared" si="3"/>
        <v>9</v>
      </c>
      <c r="K227" s="3"/>
    </row>
    <row r="228" spans="1:11" x14ac:dyDescent="0.3">
      <c r="A228" s="4" t="s">
        <v>634</v>
      </c>
      <c r="B228" s="138" t="s">
        <v>360</v>
      </c>
      <c r="C228" s="2" t="s">
        <v>202</v>
      </c>
      <c r="D228" s="2" t="s">
        <v>204</v>
      </c>
      <c r="E228" s="2" t="s">
        <v>471</v>
      </c>
      <c r="F228" s="139">
        <v>2</v>
      </c>
      <c r="G228" s="140">
        <v>6</v>
      </c>
      <c r="H228" s="140">
        <v>0</v>
      </c>
      <c r="I228" s="140">
        <v>0</v>
      </c>
      <c r="J228" s="140">
        <f t="shared" si="3"/>
        <v>8</v>
      </c>
      <c r="K228" s="3"/>
    </row>
    <row r="229" spans="1:11" x14ac:dyDescent="0.3">
      <c r="A229" s="4" t="s">
        <v>635</v>
      </c>
      <c r="B229" s="138" t="s">
        <v>363</v>
      </c>
      <c r="C229" s="2" t="s">
        <v>198</v>
      </c>
      <c r="D229" s="2" t="s">
        <v>199</v>
      </c>
      <c r="E229" s="2" t="s">
        <v>380</v>
      </c>
      <c r="F229" s="139">
        <v>2</v>
      </c>
      <c r="G229" s="140">
        <v>0</v>
      </c>
      <c r="H229" s="140">
        <v>0</v>
      </c>
      <c r="I229" s="140">
        <v>0</v>
      </c>
      <c r="J229" s="140">
        <f t="shared" si="3"/>
        <v>2</v>
      </c>
      <c r="K229" s="3"/>
    </row>
    <row r="230" spans="1:11" x14ac:dyDescent="0.3">
      <c r="A230" s="4" t="s">
        <v>636</v>
      </c>
      <c r="B230" s="138" t="s">
        <v>363</v>
      </c>
      <c r="C230" s="2" t="s">
        <v>206</v>
      </c>
      <c r="D230" s="2" t="s">
        <v>197</v>
      </c>
      <c r="E230" s="2" t="s">
        <v>637</v>
      </c>
      <c r="F230" s="139">
        <v>1</v>
      </c>
      <c r="G230" s="140">
        <v>0</v>
      </c>
      <c r="H230" s="140">
        <v>0</v>
      </c>
      <c r="I230" s="140">
        <v>0</v>
      </c>
      <c r="J230" s="140">
        <f t="shared" si="3"/>
        <v>1</v>
      </c>
      <c r="K230" s="3"/>
    </row>
    <row r="231" spans="1:11" x14ac:dyDescent="0.3">
      <c r="A231" s="4" t="s">
        <v>638</v>
      </c>
      <c r="B231" s="138" t="s">
        <v>360</v>
      </c>
      <c r="C231" s="2" t="s">
        <v>188</v>
      </c>
      <c r="D231" s="2" t="s">
        <v>195</v>
      </c>
      <c r="E231" s="2" t="s">
        <v>447</v>
      </c>
      <c r="F231" s="139">
        <v>1</v>
      </c>
      <c r="G231" s="140">
        <v>0</v>
      </c>
      <c r="H231" s="140">
        <v>0</v>
      </c>
      <c r="I231" s="140">
        <v>0</v>
      </c>
      <c r="J231" s="140">
        <f t="shared" si="3"/>
        <v>1</v>
      </c>
      <c r="K231" s="3"/>
    </row>
    <row r="232" spans="1:11" x14ac:dyDescent="0.3">
      <c r="A232" s="4" t="s">
        <v>639</v>
      </c>
      <c r="B232" s="138" t="s">
        <v>363</v>
      </c>
      <c r="C232" s="2" t="s">
        <v>198</v>
      </c>
      <c r="D232" s="2" t="s">
        <v>199</v>
      </c>
      <c r="E232" s="2" t="s">
        <v>402</v>
      </c>
      <c r="F232" s="139">
        <v>11</v>
      </c>
      <c r="G232" s="140">
        <v>0</v>
      </c>
      <c r="H232" s="140">
        <v>0</v>
      </c>
      <c r="I232" s="140">
        <v>0</v>
      </c>
      <c r="J232" s="140">
        <f t="shared" si="3"/>
        <v>11</v>
      </c>
      <c r="K232" s="3"/>
    </row>
    <row r="233" spans="1:11" x14ac:dyDescent="0.3">
      <c r="A233" s="4" t="s">
        <v>640</v>
      </c>
      <c r="B233" s="138" t="s">
        <v>360</v>
      </c>
      <c r="C233" s="2" t="s">
        <v>202</v>
      </c>
      <c r="D233" s="2" t="s">
        <v>199</v>
      </c>
      <c r="E233" s="2" t="s">
        <v>393</v>
      </c>
      <c r="F233" s="139">
        <v>7</v>
      </c>
      <c r="G233" s="140">
        <v>0</v>
      </c>
      <c r="H233" s="140">
        <v>0</v>
      </c>
      <c r="I233" s="140">
        <v>0</v>
      </c>
      <c r="J233" s="140">
        <f t="shared" si="3"/>
        <v>7</v>
      </c>
      <c r="K233" s="3"/>
    </row>
    <row r="234" spans="1:11" x14ac:dyDescent="0.3">
      <c r="A234" s="4" t="s">
        <v>641</v>
      </c>
      <c r="B234" s="138" t="s">
        <v>363</v>
      </c>
      <c r="C234" s="2" t="s">
        <v>206</v>
      </c>
      <c r="D234" s="2" t="s">
        <v>197</v>
      </c>
      <c r="E234" s="2" t="s">
        <v>637</v>
      </c>
      <c r="F234" s="139">
        <v>5</v>
      </c>
      <c r="G234" s="140">
        <v>0</v>
      </c>
      <c r="H234" s="140">
        <v>0</v>
      </c>
      <c r="I234" s="140">
        <v>0</v>
      </c>
      <c r="J234" s="140">
        <f t="shared" si="3"/>
        <v>5</v>
      </c>
      <c r="K234" s="3"/>
    </row>
    <row r="235" spans="1:11" x14ac:dyDescent="0.3">
      <c r="A235" s="4" t="s">
        <v>642</v>
      </c>
      <c r="B235" s="138" t="s">
        <v>360</v>
      </c>
      <c r="C235" s="2" t="s">
        <v>202</v>
      </c>
      <c r="D235" s="2" t="s">
        <v>204</v>
      </c>
      <c r="E235" s="2" t="s">
        <v>361</v>
      </c>
      <c r="F235" s="139">
        <v>0</v>
      </c>
      <c r="G235" s="140">
        <v>0</v>
      </c>
      <c r="H235" s="140">
        <v>0</v>
      </c>
      <c r="I235" s="140">
        <v>0</v>
      </c>
      <c r="J235" s="140">
        <f t="shared" si="3"/>
        <v>0</v>
      </c>
      <c r="K235" s="3"/>
    </row>
    <row r="236" spans="1:11" x14ac:dyDescent="0.3">
      <c r="A236" s="4" t="s">
        <v>643</v>
      </c>
      <c r="B236" s="138" t="s">
        <v>363</v>
      </c>
      <c r="C236" s="2" t="s">
        <v>198</v>
      </c>
      <c r="D236" s="2" t="s">
        <v>199</v>
      </c>
      <c r="E236" s="2" t="s">
        <v>380</v>
      </c>
      <c r="F236" s="139">
        <v>7</v>
      </c>
      <c r="G236" s="140">
        <v>0</v>
      </c>
      <c r="H236" s="140">
        <v>0</v>
      </c>
      <c r="I236" s="140">
        <v>0</v>
      </c>
      <c r="J236" s="140">
        <f t="shared" si="3"/>
        <v>7</v>
      </c>
      <c r="K236" s="3"/>
    </row>
    <row r="237" spans="1:11" x14ac:dyDescent="0.3">
      <c r="A237" s="4" t="s">
        <v>644</v>
      </c>
      <c r="B237" s="138" t="s">
        <v>360</v>
      </c>
      <c r="C237" s="2" t="s">
        <v>202</v>
      </c>
      <c r="D237" s="2" t="s">
        <v>204</v>
      </c>
      <c r="E237" s="2" t="s">
        <v>538</v>
      </c>
      <c r="F237" s="139">
        <v>7</v>
      </c>
      <c r="G237" s="140">
        <v>0</v>
      </c>
      <c r="H237" s="140">
        <v>0</v>
      </c>
      <c r="I237" s="140">
        <v>0</v>
      </c>
      <c r="J237" s="140">
        <f t="shared" si="3"/>
        <v>7</v>
      </c>
      <c r="K237" s="3"/>
    </row>
    <row r="238" spans="1:11" x14ac:dyDescent="0.3">
      <c r="A238" s="4" t="s">
        <v>645</v>
      </c>
      <c r="B238" s="138" t="s">
        <v>360</v>
      </c>
      <c r="C238" s="2" t="s">
        <v>202</v>
      </c>
      <c r="D238" s="2" t="s">
        <v>204</v>
      </c>
      <c r="E238" s="2" t="s">
        <v>361</v>
      </c>
      <c r="F238" s="139">
        <v>2</v>
      </c>
      <c r="G238" s="140">
        <v>0</v>
      </c>
      <c r="H238" s="140">
        <v>0</v>
      </c>
      <c r="I238" s="140">
        <v>0</v>
      </c>
      <c r="J238" s="140">
        <f t="shared" si="3"/>
        <v>2</v>
      </c>
      <c r="K238" s="3"/>
    </row>
    <row r="239" spans="1:11" x14ac:dyDescent="0.3">
      <c r="A239" s="4" t="s">
        <v>646</v>
      </c>
      <c r="B239" s="138" t="s">
        <v>360</v>
      </c>
      <c r="C239" s="2" t="s">
        <v>202</v>
      </c>
      <c r="D239" s="2" t="s">
        <v>199</v>
      </c>
      <c r="E239" s="2" t="s">
        <v>415</v>
      </c>
      <c r="F239" s="139">
        <v>0</v>
      </c>
      <c r="G239" s="140">
        <v>0</v>
      </c>
      <c r="H239" s="140">
        <v>0</v>
      </c>
      <c r="I239" s="140">
        <v>0</v>
      </c>
      <c r="J239" s="140">
        <f t="shared" si="3"/>
        <v>0</v>
      </c>
      <c r="K239" s="3"/>
    </row>
    <row r="240" spans="1:11" x14ac:dyDescent="0.3">
      <c r="A240" s="4" t="s">
        <v>647</v>
      </c>
      <c r="B240" s="138" t="s">
        <v>360</v>
      </c>
      <c r="C240" s="2" t="s">
        <v>202</v>
      </c>
      <c r="D240" s="2" t="s">
        <v>204</v>
      </c>
      <c r="E240" s="2" t="s">
        <v>361</v>
      </c>
      <c r="F240" s="139">
        <v>0</v>
      </c>
      <c r="G240" s="140">
        <v>0</v>
      </c>
      <c r="H240" s="140">
        <v>0</v>
      </c>
      <c r="I240" s="140">
        <v>0</v>
      </c>
      <c r="J240" s="140">
        <f t="shared" si="3"/>
        <v>0</v>
      </c>
      <c r="K240" s="3"/>
    </row>
    <row r="241" spans="1:11" x14ac:dyDescent="0.3">
      <c r="A241" s="4" t="s">
        <v>648</v>
      </c>
      <c r="B241" s="138" t="s">
        <v>360</v>
      </c>
      <c r="C241" s="2" t="s">
        <v>202</v>
      </c>
      <c r="D241" s="2" t="s">
        <v>199</v>
      </c>
      <c r="E241" s="2" t="s">
        <v>428</v>
      </c>
      <c r="F241" s="139">
        <v>8</v>
      </c>
      <c r="G241" s="140">
        <v>0</v>
      </c>
      <c r="H241" s="140">
        <v>0</v>
      </c>
      <c r="I241" s="140">
        <v>0</v>
      </c>
      <c r="J241" s="140">
        <f t="shared" si="3"/>
        <v>8</v>
      </c>
      <c r="K241" s="3"/>
    </row>
    <row r="242" spans="1:11" x14ac:dyDescent="0.3">
      <c r="A242" s="4" t="s">
        <v>649</v>
      </c>
      <c r="B242" s="138" t="s">
        <v>360</v>
      </c>
      <c r="C242" s="2" t="s">
        <v>202</v>
      </c>
      <c r="D242" s="2" t="s">
        <v>204</v>
      </c>
      <c r="E242" s="2" t="s">
        <v>370</v>
      </c>
      <c r="F242" s="139">
        <v>16</v>
      </c>
      <c r="G242" s="140">
        <v>0</v>
      </c>
      <c r="H242" s="140">
        <v>0</v>
      </c>
      <c r="I242" s="140">
        <v>3</v>
      </c>
      <c r="J242" s="140">
        <f t="shared" si="3"/>
        <v>19</v>
      </c>
      <c r="K242" s="3"/>
    </row>
    <row r="243" spans="1:11" x14ac:dyDescent="0.3">
      <c r="A243" s="4" t="s">
        <v>650</v>
      </c>
      <c r="B243" s="138" t="s">
        <v>360</v>
      </c>
      <c r="C243" s="2" t="s">
        <v>202</v>
      </c>
      <c r="D243" s="2" t="s">
        <v>199</v>
      </c>
      <c r="E243" s="2" t="s">
        <v>393</v>
      </c>
      <c r="F243" s="139">
        <v>2</v>
      </c>
      <c r="G243" s="140">
        <v>0</v>
      </c>
      <c r="H243" s="140">
        <v>0</v>
      </c>
      <c r="I243" s="140">
        <v>0</v>
      </c>
      <c r="J243" s="140">
        <f t="shared" si="3"/>
        <v>2</v>
      </c>
      <c r="K243" s="3"/>
    </row>
    <row r="244" spans="1:11" x14ac:dyDescent="0.3">
      <c r="A244" s="4" t="s">
        <v>651</v>
      </c>
      <c r="B244" s="138" t="s">
        <v>363</v>
      </c>
      <c r="C244" s="2" t="s">
        <v>208</v>
      </c>
      <c r="D244" s="2" t="s">
        <v>195</v>
      </c>
      <c r="E244" s="2" t="s">
        <v>500</v>
      </c>
      <c r="F244" s="139">
        <v>2</v>
      </c>
      <c r="G244" s="140">
        <v>4</v>
      </c>
      <c r="H244" s="140">
        <v>0</v>
      </c>
      <c r="I244" s="140">
        <v>0</v>
      </c>
      <c r="J244" s="140">
        <f t="shared" si="3"/>
        <v>6</v>
      </c>
      <c r="K244" s="3"/>
    </row>
    <row r="245" spans="1:11" x14ac:dyDescent="0.3">
      <c r="A245" s="4" t="s">
        <v>652</v>
      </c>
      <c r="B245" s="138" t="s">
        <v>363</v>
      </c>
      <c r="C245" s="2" t="s">
        <v>198</v>
      </c>
      <c r="D245" s="2" t="s">
        <v>199</v>
      </c>
      <c r="E245" s="2" t="s">
        <v>432</v>
      </c>
      <c r="F245" s="139">
        <v>11</v>
      </c>
      <c r="G245" s="140">
        <v>0</v>
      </c>
      <c r="H245" s="140">
        <v>0</v>
      </c>
      <c r="I245" s="140">
        <v>0</v>
      </c>
      <c r="J245" s="140">
        <f t="shared" si="3"/>
        <v>11</v>
      </c>
      <c r="K245" s="3"/>
    </row>
    <row r="246" spans="1:11" x14ac:dyDescent="0.3">
      <c r="A246" s="4" t="s">
        <v>653</v>
      </c>
      <c r="B246" s="138" t="s">
        <v>360</v>
      </c>
      <c r="C246" s="2" t="s">
        <v>202</v>
      </c>
      <c r="D246" s="2" t="s">
        <v>200</v>
      </c>
      <c r="E246" s="2" t="s">
        <v>417</v>
      </c>
      <c r="F246" s="139">
        <v>15</v>
      </c>
      <c r="G246" s="140">
        <v>0</v>
      </c>
      <c r="H246" s="140">
        <v>0</v>
      </c>
      <c r="I246" s="140">
        <v>0</v>
      </c>
      <c r="J246" s="140">
        <f t="shared" si="3"/>
        <v>15</v>
      </c>
      <c r="K246" s="3"/>
    </row>
    <row r="247" spans="1:11" x14ac:dyDescent="0.3">
      <c r="A247" s="4" t="s">
        <v>654</v>
      </c>
      <c r="B247" s="138" t="s">
        <v>360</v>
      </c>
      <c r="C247" s="2" t="s">
        <v>202</v>
      </c>
      <c r="D247" s="2" t="s">
        <v>199</v>
      </c>
      <c r="E247" s="2" t="s">
        <v>454</v>
      </c>
      <c r="F247" s="139">
        <v>4</v>
      </c>
      <c r="G247" s="140">
        <v>0</v>
      </c>
      <c r="H247" s="140">
        <v>0</v>
      </c>
      <c r="I247" s="140">
        <v>0</v>
      </c>
      <c r="J247" s="140">
        <f t="shared" si="3"/>
        <v>4</v>
      </c>
      <c r="K247" s="3"/>
    </row>
    <row r="248" spans="1:11" x14ac:dyDescent="0.3">
      <c r="A248" s="4" t="s">
        <v>655</v>
      </c>
      <c r="B248" s="138" t="s">
        <v>360</v>
      </c>
      <c r="C248" s="2" t="s">
        <v>202</v>
      </c>
      <c r="D248" s="2" t="s">
        <v>204</v>
      </c>
      <c r="E248" s="2" t="s">
        <v>389</v>
      </c>
      <c r="F248" s="139">
        <v>2</v>
      </c>
      <c r="G248" s="140">
        <v>20</v>
      </c>
      <c r="H248" s="140">
        <v>0</v>
      </c>
      <c r="I248" s="140">
        <v>0</v>
      </c>
      <c r="J248" s="140">
        <f t="shared" si="3"/>
        <v>22</v>
      </c>
      <c r="K248" s="3"/>
    </row>
    <row r="249" spans="1:11" x14ac:dyDescent="0.3">
      <c r="A249" s="4" t="s">
        <v>656</v>
      </c>
      <c r="B249" s="138" t="s">
        <v>360</v>
      </c>
      <c r="C249" s="2" t="s">
        <v>188</v>
      </c>
      <c r="D249" s="2" t="s">
        <v>196</v>
      </c>
      <c r="E249" s="2" t="s">
        <v>423</v>
      </c>
      <c r="F249" s="139">
        <v>15</v>
      </c>
      <c r="G249" s="140">
        <v>0</v>
      </c>
      <c r="H249" s="140">
        <v>0</v>
      </c>
      <c r="I249" s="140">
        <v>0</v>
      </c>
      <c r="J249" s="140">
        <f t="shared" si="3"/>
        <v>15</v>
      </c>
      <c r="K249" s="3"/>
    </row>
    <row r="250" spans="1:11" x14ac:dyDescent="0.3">
      <c r="A250" s="4" t="s">
        <v>657</v>
      </c>
      <c r="B250" s="138" t="s">
        <v>360</v>
      </c>
      <c r="C250" s="2" t="s">
        <v>209</v>
      </c>
      <c r="D250" s="2" t="s">
        <v>207</v>
      </c>
      <c r="E250" s="2" t="s">
        <v>382</v>
      </c>
      <c r="F250" s="139">
        <v>0</v>
      </c>
      <c r="G250" s="140">
        <v>6</v>
      </c>
      <c r="H250" s="140">
        <v>0</v>
      </c>
      <c r="I250" s="140">
        <v>0</v>
      </c>
      <c r="J250" s="140">
        <f t="shared" si="3"/>
        <v>6</v>
      </c>
      <c r="K250" s="3"/>
    </row>
    <row r="251" spans="1:11" x14ac:dyDescent="0.3">
      <c r="A251" s="4" t="s">
        <v>658</v>
      </c>
      <c r="B251" s="138" t="s">
        <v>360</v>
      </c>
      <c r="C251" s="2" t="s">
        <v>202</v>
      </c>
      <c r="D251" s="2" t="s">
        <v>204</v>
      </c>
      <c r="E251" s="2" t="s">
        <v>361</v>
      </c>
      <c r="F251" s="139">
        <v>3</v>
      </c>
      <c r="G251" s="140">
        <v>0</v>
      </c>
      <c r="H251" s="140">
        <v>0</v>
      </c>
      <c r="I251" s="140">
        <v>0</v>
      </c>
      <c r="J251" s="140">
        <f t="shared" si="3"/>
        <v>3</v>
      </c>
      <c r="K251" s="3"/>
    </row>
    <row r="252" spans="1:11" x14ac:dyDescent="0.3">
      <c r="A252" s="4" t="s">
        <v>659</v>
      </c>
      <c r="B252" s="138" t="s">
        <v>360</v>
      </c>
      <c r="C252" s="2" t="s">
        <v>202</v>
      </c>
      <c r="D252" s="2" t="s">
        <v>199</v>
      </c>
      <c r="E252" s="2" t="s">
        <v>454</v>
      </c>
      <c r="F252" s="139">
        <v>2</v>
      </c>
      <c r="G252" s="140">
        <v>0</v>
      </c>
      <c r="H252" s="140">
        <v>0</v>
      </c>
      <c r="I252" s="140">
        <v>0</v>
      </c>
      <c r="J252" s="140">
        <f t="shared" si="3"/>
        <v>2</v>
      </c>
      <c r="K252" s="3"/>
    </row>
    <row r="253" spans="1:11" x14ac:dyDescent="0.3">
      <c r="A253" s="4" t="s">
        <v>660</v>
      </c>
      <c r="B253" s="138" t="s">
        <v>360</v>
      </c>
      <c r="C253" s="2" t="s">
        <v>202</v>
      </c>
      <c r="D253" s="2" t="s">
        <v>199</v>
      </c>
      <c r="E253" s="2" t="s">
        <v>378</v>
      </c>
      <c r="F253" s="139">
        <v>9</v>
      </c>
      <c r="G253" s="140">
        <v>6</v>
      </c>
      <c r="H253" s="140">
        <v>0</v>
      </c>
      <c r="I253" s="140">
        <v>0</v>
      </c>
      <c r="J253" s="140">
        <f t="shared" si="3"/>
        <v>15</v>
      </c>
      <c r="K253" s="3"/>
    </row>
    <row r="254" spans="1:11" x14ac:dyDescent="0.3">
      <c r="A254" s="4" t="s">
        <v>661</v>
      </c>
      <c r="B254" s="138" t="s">
        <v>363</v>
      </c>
      <c r="C254" s="2" t="s">
        <v>198</v>
      </c>
      <c r="D254" s="2" t="s">
        <v>199</v>
      </c>
      <c r="E254" s="2" t="s">
        <v>432</v>
      </c>
      <c r="F254" s="139">
        <v>4</v>
      </c>
      <c r="G254" s="140">
        <v>0</v>
      </c>
      <c r="H254" s="140">
        <v>0</v>
      </c>
      <c r="I254" s="140">
        <v>0</v>
      </c>
      <c r="J254" s="140">
        <f t="shared" si="3"/>
        <v>4</v>
      </c>
      <c r="K254" s="3"/>
    </row>
    <row r="255" spans="1:11" x14ac:dyDescent="0.3">
      <c r="A255" s="4" t="s">
        <v>662</v>
      </c>
      <c r="B255" s="138" t="s">
        <v>360</v>
      </c>
      <c r="C255" s="2" t="s">
        <v>188</v>
      </c>
      <c r="D255" s="2" t="s">
        <v>189</v>
      </c>
      <c r="E255" s="2" t="s">
        <v>376</v>
      </c>
      <c r="F255" s="139">
        <v>1</v>
      </c>
      <c r="G255" s="140">
        <v>0</v>
      </c>
      <c r="H255" s="140">
        <v>0</v>
      </c>
      <c r="I255" s="140">
        <v>0</v>
      </c>
      <c r="J255" s="140">
        <f t="shared" si="3"/>
        <v>1</v>
      </c>
      <c r="K255" s="3"/>
    </row>
    <row r="256" spans="1:11" x14ac:dyDescent="0.3">
      <c r="A256" s="4" t="s">
        <v>663</v>
      </c>
      <c r="B256" s="138" t="s">
        <v>360</v>
      </c>
      <c r="C256" s="2" t="s">
        <v>188</v>
      </c>
      <c r="D256" s="2" t="s">
        <v>189</v>
      </c>
      <c r="E256" s="2" t="s">
        <v>376</v>
      </c>
      <c r="F256" s="139">
        <v>1</v>
      </c>
      <c r="G256" s="140">
        <v>0</v>
      </c>
      <c r="H256" s="140">
        <v>0</v>
      </c>
      <c r="I256" s="140">
        <v>0</v>
      </c>
      <c r="J256" s="140">
        <f t="shared" si="3"/>
        <v>1</v>
      </c>
      <c r="K256" s="3"/>
    </row>
    <row r="257" spans="1:11" x14ac:dyDescent="0.3">
      <c r="A257" s="4" t="s">
        <v>664</v>
      </c>
      <c r="B257" s="138" t="s">
        <v>360</v>
      </c>
      <c r="C257" s="2" t="s">
        <v>202</v>
      </c>
      <c r="D257" s="2" t="s">
        <v>199</v>
      </c>
      <c r="E257" s="2" t="s">
        <v>393</v>
      </c>
      <c r="F257" s="139">
        <v>12</v>
      </c>
      <c r="G257" s="140">
        <v>0</v>
      </c>
      <c r="H257" s="140">
        <v>0</v>
      </c>
      <c r="I257" s="140">
        <v>15</v>
      </c>
      <c r="J257" s="140">
        <f t="shared" si="3"/>
        <v>27</v>
      </c>
      <c r="K257" s="3"/>
    </row>
    <row r="258" spans="1:11" x14ac:dyDescent="0.3">
      <c r="A258" s="4" t="s">
        <v>665</v>
      </c>
      <c r="B258" s="138" t="s">
        <v>363</v>
      </c>
      <c r="C258" s="2" t="s">
        <v>198</v>
      </c>
      <c r="D258" s="2" t="s">
        <v>199</v>
      </c>
      <c r="E258" s="2" t="s">
        <v>402</v>
      </c>
      <c r="F258" s="139">
        <v>9</v>
      </c>
      <c r="G258" s="140">
        <v>0</v>
      </c>
      <c r="H258" s="140">
        <v>0</v>
      </c>
      <c r="I258" s="140">
        <v>0</v>
      </c>
      <c r="J258" s="140">
        <f t="shared" si="3"/>
        <v>9</v>
      </c>
      <c r="K258" s="3"/>
    </row>
    <row r="259" spans="1:11" x14ac:dyDescent="0.3">
      <c r="A259" s="4" t="s">
        <v>666</v>
      </c>
      <c r="B259" s="138" t="s">
        <v>363</v>
      </c>
      <c r="C259" s="2" t="s">
        <v>198</v>
      </c>
      <c r="D259" s="2" t="s">
        <v>200</v>
      </c>
      <c r="E259" s="2" t="s">
        <v>450</v>
      </c>
      <c r="F259" s="139">
        <v>6</v>
      </c>
      <c r="G259" s="140">
        <v>0</v>
      </c>
      <c r="H259" s="140">
        <v>0</v>
      </c>
      <c r="I259" s="140">
        <v>0</v>
      </c>
      <c r="J259" s="140">
        <f t="shared" si="3"/>
        <v>6</v>
      </c>
      <c r="K259" s="3"/>
    </row>
    <row r="260" spans="1:11" x14ac:dyDescent="0.3">
      <c r="A260" s="4" t="s">
        <v>667</v>
      </c>
      <c r="B260" s="138" t="s">
        <v>360</v>
      </c>
      <c r="C260" s="2" t="s">
        <v>202</v>
      </c>
      <c r="D260" s="2" t="s">
        <v>199</v>
      </c>
      <c r="E260" s="2" t="s">
        <v>393</v>
      </c>
      <c r="F260" s="139">
        <v>14</v>
      </c>
      <c r="G260" s="140">
        <v>0</v>
      </c>
      <c r="H260" s="140">
        <v>0</v>
      </c>
      <c r="I260" s="140">
        <v>0</v>
      </c>
      <c r="J260" s="140">
        <f t="shared" si="3"/>
        <v>14</v>
      </c>
      <c r="K260" s="3"/>
    </row>
    <row r="261" spans="1:11" x14ac:dyDescent="0.3">
      <c r="A261" s="4" t="s">
        <v>668</v>
      </c>
      <c r="B261" s="138" t="s">
        <v>360</v>
      </c>
      <c r="C261" s="2" t="s">
        <v>202</v>
      </c>
      <c r="D261" s="2" t="s">
        <v>204</v>
      </c>
      <c r="E261" s="2" t="s">
        <v>370</v>
      </c>
      <c r="F261" s="139">
        <v>0</v>
      </c>
      <c r="G261" s="140">
        <v>0</v>
      </c>
      <c r="H261" s="140">
        <v>0</v>
      </c>
      <c r="I261" s="140">
        <v>0</v>
      </c>
      <c r="J261" s="140">
        <f t="shared" ref="J261:J324" si="4">SUM(F261:I261)</f>
        <v>0</v>
      </c>
      <c r="K261" s="3"/>
    </row>
    <row r="262" spans="1:11" x14ac:dyDescent="0.3">
      <c r="A262" s="4" t="s">
        <v>669</v>
      </c>
      <c r="B262" s="138" t="s">
        <v>360</v>
      </c>
      <c r="C262" s="2" t="s">
        <v>202</v>
      </c>
      <c r="D262" s="2" t="s">
        <v>204</v>
      </c>
      <c r="E262" s="2" t="s">
        <v>370</v>
      </c>
      <c r="F262" s="139">
        <v>0</v>
      </c>
      <c r="G262" s="140">
        <v>0</v>
      </c>
      <c r="H262" s="140">
        <v>0</v>
      </c>
      <c r="I262" s="140">
        <v>0</v>
      </c>
      <c r="J262" s="140">
        <f t="shared" si="4"/>
        <v>0</v>
      </c>
      <c r="K262" s="3"/>
    </row>
    <row r="263" spans="1:11" x14ac:dyDescent="0.3">
      <c r="A263" s="4" t="s">
        <v>670</v>
      </c>
      <c r="B263" s="138" t="s">
        <v>360</v>
      </c>
      <c r="C263" s="2" t="s">
        <v>202</v>
      </c>
      <c r="D263" s="2" t="s">
        <v>204</v>
      </c>
      <c r="E263" s="2" t="s">
        <v>462</v>
      </c>
      <c r="F263" s="139">
        <v>3</v>
      </c>
      <c r="G263" s="140">
        <v>0</v>
      </c>
      <c r="H263" s="140">
        <v>0</v>
      </c>
      <c r="I263" s="140">
        <v>0</v>
      </c>
      <c r="J263" s="140">
        <f t="shared" si="4"/>
        <v>3</v>
      </c>
      <c r="K263" s="3"/>
    </row>
    <row r="264" spans="1:11" x14ac:dyDescent="0.3">
      <c r="A264" s="4" t="s">
        <v>671</v>
      </c>
      <c r="B264" s="138" t="s">
        <v>360</v>
      </c>
      <c r="C264" s="2" t="s">
        <v>188</v>
      </c>
      <c r="D264" s="2" t="s">
        <v>196</v>
      </c>
      <c r="E264" s="2" t="s">
        <v>423</v>
      </c>
      <c r="F264" s="139">
        <v>2</v>
      </c>
      <c r="G264" s="140">
        <v>16</v>
      </c>
      <c r="H264" s="140">
        <v>0</v>
      </c>
      <c r="I264" s="140">
        <v>0</v>
      </c>
      <c r="J264" s="140">
        <f t="shared" si="4"/>
        <v>18</v>
      </c>
      <c r="K264" s="3"/>
    </row>
    <row r="265" spans="1:11" x14ac:dyDescent="0.3">
      <c r="A265" s="4" t="s">
        <v>672</v>
      </c>
      <c r="B265" s="138" t="s">
        <v>363</v>
      </c>
      <c r="C265" s="2" t="s">
        <v>208</v>
      </c>
      <c r="D265" s="2" t="s">
        <v>195</v>
      </c>
      <c r="E265" s="2" t="s">
        <v>500</v>
      </c>
      <c r="F265" s="139">
        <v>6</v>
      </c>
      <c r="G265" s="140">
        <v>0</v>
      </c>
      <c r="H265" s="140">
        <v>0</v>
      </c>
      <c r="I265" s="140">
        <v>0</v>
      </c>
      <c r="J265" s="140">
        <f t="shared" si="4"/>
        <v>6</v>
      </c>
      <c r="K265" s="3"/>
    </row>
    <row r="266" spans="1:11" x14ac:dyDescent="0.3">
      <c r="A266" s="4" t="s">
        <v>673</v>
      </c>
      <c r="B266" s="138" t="s">
        <v>360</v>
      </c>
      <c r="C266" s="2" t="s">
        <v>202</v>
      </c>
      <c r="D266" s="2" t="s">
        <v>204</v>
      </c>
      <c r="E266" s="2" t="s">
        <v>391</v>
      </c>
      <c r="F266" s="139">
        <v>0</v>
      </c>
      <c r="G266" s="140">
        <v>0</v>
      </c>
      <c r="H266" s="140">
        <v>0</v>
      </c>
      <c r="I266" s="140">
        <v>0</v>
      </c>
      <c r="J266" s="140">
        <f t="shared" si="4"/>
        <v>0</v>
      </c>
      <c r="K266" s="3"/>
    </row>
    <row r="267" spans="1:11" x14ac:dyDescent="0.3">
      <c r="A267" s="4" t="s">
        <v>674</v>
      </c>
      <c r="B267" s="138" t="s">
        <v>360</v>
      </c>
      <c r="C267" s="2" t="s">
        <v>202</v>
      </c>
      <c r="D267" s="2" t="s">
        <v>199</v>
      </c>
      <c r="E267" s="2" t="s">
        <v>473</v>
      </c>
      <c r="F267" s="139">
        <v>3</v>
      </c>
      <c r="G267" s="140">
        <v>0</v>
      </c>
      <c r="H267" s="140">
        <v>0</v>
      </c>
      <c r="I267" s="140">
        <v>0</v>
      </c>
      <c r="J267" s="140">
        <f t="shared" si="4"/>
        <v>3</v>
      </c>
      <c r="K267" s="3"/>
    </row>
    <row r="268" spans="1:11" x14ac:dyDescent="0.3">
      <c r="A268" s="4" t="s">
        <v>675</v>
      </c>
      <c r="B268" s="138" t="s">
        <v>360</v>
      </c>
      <c r="C268" s="2" t="s">
        <v>188</v>
      </c>
      <c r="D268" s="2" t="s">
        <v>189</v>
      </c>
      <c r="E268" s="2" t="s">
        <v>387</v>
      </c>
      <c r="F268" s="139">
        <v>16</v>
      </c>
      <c r="G268" s="140">
        <v>0</v>
      </c>
      <c r="H268" s="140">
        <v>0</v>
      </c>
      <c r="I268" s="140">
        <v>0</v>
      </c>
      <c r="J268" s="140">
        <f t="shared" si="4"/>
        <v>16</v>
      </c>
      <c r="K268" s="3"/>
    </row>
    <row r="269" spans="1:11" x14ac:dyDescent="0.3">
      <c r="A269" s="4" t="s">
        <v>676</v>
      </c>
      <c r="B269" s="138" t="s">
        <v>360</v>
      </c>
      <c r="C269" s="2" t="s">
        <v>202</v>
      </c>
      <c r="D269" s="2" t="s">
        <v>204</v>
      </c>
      <c r="E269" s="2" t="s">
        <v>391</v>
      </c>
      <c r="F269" s="139">
        <v>1</v>
      </c>
      <c r="G269" s="140">
        <v>0</v>
      </c>
      <c r="H269" s="140">
        <v>0</v>
      </c>
      <c r="I269" s="140">
        <v>0</v>
      </c>
      <c r="J269" s="140">
        <f t="shared" si="4"/>
        <v>1</v>
      </c>
      <c r="K269" s="3"/>
    </row>
    <row r="270" spans="1:11" x14ac:dyDescent="0.3">
      <c r="A270" s="4" t="s">
        <v>677</v>
      </c>
      <c r="B270" s="138" t="s">
        <v>360</v>
      </c>
      <c r="C270" s="2" t="s">
        <v>202</v>
      </c>
      <c r="D270" s="2" t="s">
        <v>204</v>
      </c>
      <c r="E270" s="2" t="s">
        <v>370</v>
      </c>
      <c r="F270" s="139">
        <v>3</v>
      </c>
      <c r="G270" s="140">
        <v>0</v>
      </c>
      <c r="H270" s="140">
        <v>0</v>
      </c>
      <c r="I270" s="140">
        <v>0</v>
      </c>
      <c r="J270" s="140">
        <f t="shared" si="4"/>
        <v>3</v>
      </c>
      <c r="K270" s="3"/>
    </row>
    <row r="271" spans="1:11" x14ac:dyDescent="0.3">
      <c r="A271" s="4" t="s">
        <v>678</v>
      </c>
      <c r="B271" s="138" t="s">
        <v>360</v>
      </c>
      <c r="C271" s="2" t="s">
        <v>188</v>
      </c>
      <c r="D271" s="2" t="s">
        <v>196</v>
      </c>
      <c r="E271" s="2" t="s">
        <v>423</v>
      </c>
      <c r="F271" s="139">
        <v>1</v>
      </c>
      <c r="G271" s="140">
        <v>0</v>
      </c>
      <c r="H271" s="140">
        <v>0</v>
      </c>
      <c r="I271" s="140">
        <v>0</v>
      </c>
      <c r="J271" s="140">
        <f t="shared" si="4"/>
        <v>1</v>
      </c>
      <c r="K271" s="3"/>
    </row>
    <row r="272" spans="1:11" x14ac:dyDescent="0.3">
      <c r="A272" s="4" t="s">
        <v>679</v>
      </c>
      <c r="B272" s="138" t="s">
        <v>360</v>
      </c>
      <c r="C272" s="2" t="s">
        <v>209</v>
      </c>
      <c r="D272" s="2" t="s">
        <v>197</v>
      </c>
      <c r="E272" s="2" t="s">
        <v>425</v>
      </c>
      <c r="F272" s="139">
        <v>7</v>
      </c>
      <c r="G272" s="140">
        <v>0</v>
      </c>
      <c r="H272" s="140">
        <v>0</v>
      </c>
      <c r="I272" s="140">
        <v>0</v>
      </c>
      <c r="J272" s="140">
        <f t="shared" si="4"/>
        <v>7</v>
      </c>
      <c r="K272" s="3"/>
    </row>
    <row r="273" spans="1:11" x14ac:dyDescent="0.3">
      <c r="A273" s="4" t="s">
        <v>680</v>
      </c>
      <c r="B273" s="138" t="s">
        <v>360</v>
      </c>
      <c r="C273" s="2" t="s">
        <v>202</v>
      </c>
      <c r="D273" s="2" t="s">
        <v>199</v>
      </c>
      <c r="E273" s="2" t="s">
        <v>454</v>
      </c>
      <c r="F273" s="139">
        <v>17</v>
      </c>
      <c r="G273" s="140">
        <v>21</v>
      </c>
      <c r="H273" s="140">
        <v>0</v>
      </c>
      <c r="I273" s="140">
        <v>0</v>
      </c>
      <c r="J273" s="140">
        <f t="shared" si="4"/>
        <v>38</v>
      </c>
      <c r="K273" s="3"/>
    </row>
    <row r="274" spans="1:11" x14ac:dyDescent="0.3">
      <c r="A274" s="4" t="s">
        <v>681</v>
      </c>
      <c r="B274" s="138" t="s">
        <v>360</v>
      </c>
      <c r="C274" s="2" t="s">
        <v>188</v>
      </c>
      <c r="D274" s="2" t="s">
        <v>189</v>
      </c>
      <c r="E274" s="2" t="s">
        <v>387</v>
      </c>
      <c r="F274" s="139">
        <v>0</v>
      </c>
      <c r="G274" s="140">
        <v>0</v>
      </c>
      <c r="H274" s="140">
        <v>0</v>
      </c>
      <c r="I274" s="140">
        <v>0</v>
      </c>
      <c r="J274" s="140">
        <f t="shared" si="4"/>
        <v>0</v>
      </c>
      <c r="K274" s="3"/>
    </row>
    <row r="275" spans="1:11" x14ac:dyDescent="0.3">
      <c r="A275" s="4" t="s">
        <v>682</v>
      </c>
      <c r="B275" s="138" t="s">
        <v>360</v>
      </c>
      <c r="C275" s="2" t="s">
        <v>202</v>
      </c>
      <c r="D275" s="2" t="s">
        <v>204</v>
      </c>
      <c r="E275" s="2" t="s">
        <v>457</v>
      </c>
      <c r="F275" s="139">
        <v>15</v>
      </c>
      <c r="G275" s="140">
        <v>0</v>
      </c>
      <c r="H275" s="140">
        <v>1</v>
      </c>
      <c r="I275" s="140">
        <v>0</v>
      </c>
      <c r="J275" s="140">
        <f t="shared" si="4"/>
        <v>16</v>
      </c>
      <c r="K275" s="3"/>
    </row>
    <row r="276" spans="1:11" x14ac:dyDescent="0.3">
      <c r="A276" s="4" t="s">
        <v>683</v>
      </c>
      <c r="B276" s="138" t="s">
        <v>363</v>
      </c>
      <c r="C276" s="2" t="s">
        <v>198</v>
      </c>
      <c r="D276" s="2" t="s">
        <v>197</v>
      </c>
      <c r="E276" s="2" t="s">
        <v>409</v>
      </c>
      <c r="F276" s="139">
        <v>2</v>
      </c>
      <c r="G276" s="140">
        <v>0</v>
      </c>
      <c r="H276" s="140">
        <v>0</v>
      </c>
      <c r="I276" s="140">
        <v>0</v>
      </c>
      <c r="J276" s="140">
        <f t="shared" si="4"/>
        <v>2</v>
      </c>
      <c r="K276" s="3"/>
    </row>
    <row r="277" spans="1:11" x14ac:dyDescent="0.3">
      <c r="A277" s="4" t="s">
        <v>684</v>
      </c>
      <c r="B277" s="138" t="s">
        <v>360</v>
      </c>
      <c r="C277" s="2" t="s">
        <v>202</v>
      </c>
      <c r="D277" s="2" t="s">
        <v>204</v>
      </c>
      <c r="E277" s="2" t="s">
        <v>462</v>
      </c>
      <c r="F277" s="139">
        <v>2</v>
      </c>
      <c r="G277" s="140">
        <v>0</v>
      </c>
      <c r="H277" s="140">
        <v>0</v>
      </c>
      <c r="I277" s="140">
        <v>0</v>
      </c>
      <c r="J277" s="140">
        <f t="shared" si="4"/>
        <v>2</v>
      </c>
      <c r="K277" s="3"/>
    </row>
    <row r="278" spans="1:11" x14ac:dyDescent="0.3">
      <c r="A278" s="4" t="s">
        <v>685</v>
      </c>
      <c r="B278" s="138" t="s">
        <v>360</v>
      </c>
      <c r="C278" s="2" t="s">
        <v>188</v>
      </c>
      <c r="D278" s="2" t="s">
        <v>196</v>
      </c>
      <c r="E278" s="2" t="s">
        <v>423</v>
      </c>
      <c r="F278" s="139">
        <v>0</v>
      </c>
      <c r="G278" s="140">
        <v>0</v>
      </c>
      <c r="H278" s="140">
        <v>0</v>
      </c>
      <c r="I278" s="140">
        <v>0</v>
      </c>
      <c r="J278" s="140">
        <f t="shared" si="4"/>
        <v>0</v>
      </c>
      <c r="K278" s="3"/>
    </row>
    <row r="279" spans="1:11" x14ac:dyDescent="0.3">
      <c r="A279" s="4" t="s">
        <v>686</v>
      </c>
      <c r="B279" s="138" t="s">
        <v>363</v>
      </c>
      <c r="C279" s="2" t="s">
        <v>198</v>
      </c>
      <c r="D279" s="2" t="s">
        <v>200</v>
      </c>
      <c r="E279" s="2" t="s">
        <v>372</v>
      </c>
      <c r="F279" s="139">
        <v>3</v>
      </c>
      <c r="G279" s="140">
        <v>0</v>
      </c>
      <c r="H279" s="140">
        <v>0</v>
      </c>
      <c r="I279" s="140">
        <v>0</v>
      </c>
      <c r="J279" s="140">
        <f t="shared" si="4"/>
        <v>3</v>
      </c>
      <c r="K279" s="3"/>
    </row>
    <row r="280" spans="1:11" x14ac:dyDescent="0.3">
      <c r="A280" s="4" t="s">
        <v>687</v>
      </c>
      <c r="B280" s="138" t="s">
        <v>363</v>
      </c>
      <c r="C280" s="2" t="s">
        <v>206</v>
      </c>
      <c r="D280" s="2" t="s">
        <v>189</v>
      </c>
      <c r="E280" s="2" t="s">
        <v>541</v>
      </c>
      <c r="F280" s="139">
        <v>15</v>
      </c>
      <c r="G280" s="140">
        <v>0</v>
      </c>
      <c r="H280" s="140">
        <v>0</v>
      </c>
      <c r="I280" s="140">
        <v>7</v>
      </c>
      <c r="J280" s="140">
        <f t="shared" si="4"/>
        <v>22</v>
      </c>
      <c r="K280" s="3"/>
    </row>
    <row r="281" spans="1:11" x14ac:dyDescent="0.3">
      <c r="A281" s="4" t="s">
        <v>688</v>
      </c>
      <c r="B281" s="138" t="s">
        <v>360</v>
      </c>
      <c r="C281" s="2" t="s">
        <v>202</v>
      </c>
      <c r="D281" s="2" t="s">
        <v>204</v>
      </c>
      <c r="E281" s="2" t="s">
        <v>361</v>
      </c>
      <c r="F281" s="139">
        <v>0</v>
      </c>
      <c r="G281" s="140">
        <v>2</v>
      </c>
      <c r="H281" s="140">
        <v>0</v>
      </c>
      <c r="I281" s="140">
        <v>0</v>
      </c>
      <c r="J281" s="140">
        <f t="shared" si="4"/>
        <v>2</v>
      </c>
      <c r="K281" s="3"/>
    </row>
    <row r="282" spans="1:11" x14ac:dyDescent="0.3">
      <c r="A282" s="4" t="s">
        <v>689</v>
      </c>
      <c r="B282" s="138" t="s">
        <v>360</v>
      </c>
      <c r="C282" s="2" t="s">
        <v>202</v>
      </c>
      <c r="D282" s="2" t="s">
        <v>204</v>
      </c>
      <c r="E282" s="2" t="s">
        <v>389</v>
      </c>
      <c r="F282" s="139">
        <v>8</v>
      </c>
      <c r="G282" s="140">
        <v>0</v>
      </c>
      <c r="H282" s="140">
        <v>0</v>
      </c>
      <c r="I282" s="140">
        <v>0</v>
      </c>
      <c r="J282" s="140">
        <f t="shared" si="4"/>
        <v>8</v>
      </c>
      <c r="K282" s="3"/>
    </row>
    <row r="283" spans="1:11" x14ac:dyDescent="0.3">
      <c r="A283" s="4" t="s">
        <v>690</v>
      </c>
      <c r="B283" s="138" t="s">
        <v>360</v>
      </c>
      <c r="C283" s="2" t="s">
        <v>202</v>
      </c>
      <c r="D283" s="2" t="s">
        <v>204</v>
      </c>
      <c r="E283" s="2" t="s">
        <v>419</v>
      </c>
      <c r="F283" s="139">
        <v>15</v>
      </c>
      <c r="G283" s="140">
        <v>0</v>
      </c>
      <c r="H283" s="140">
        <v>0</v>
      </c>
      <c r="I283" s="140">
        <v>0</v>
      </c>
      <c r="J283" s="140">
        <f t="shared" si="4"/>
        <v>15</v>
      </c>
      <c r="K283" s="3"/>
    </row>
    <row r="284" spans="1:11" x14ac:dyDescent="0.3">
      <c r="A284" s="4" t="s">
        <v>691</v>
      </c>
      <c r="B284" s="138" t="s">
        <v>360</v>
      </c>
      <c r="C284" s="2" t="s">
        <v>202</v>
      </c>
      <c r="D284" s="2" t="s">
        <v>200</v>
      </c>
      <c r="E284" s="2" t="s">
        <v>417</v>
      </c>
      <c r="F284" s="139">
        <v>0</v>
      </c>
      <c r="G284" s="140">
        <v>0</v>
      </c>
      <c r="H284" s="140">
        <v>0</v>
      </c>
      <c r="I284" s="140">
        <v>0</v>
      </c>
      <c r="J284" s="140">
        <f t="shared" si="4"/>
        <v>0</v>
      </c>
      <c r="K284" s="3"/>
    </row>
    <row r="285" spans="1:11" x14ac:dyDescent="0.3">
      <c r="A285" s="4" t="s">
        <v>692</v>
      </c>
      <c r="B285" s="138" t="s">
        <v>363</v>
      </c>
      <c r="C285" s="2" t="s">
        <v>198</v>
      </c>
      <c r="D285" s="2" t="s">
        <v>199</v>
      </c>
      <c r="E285" s="2" t="s">
        <v>364</v>
      </c>
      <c r="F285" s="139">
        <v>3</v>
      </c>
      <c r="G285" s="140">
        <v>4</v>
      </c>
      <c r="H285" s="140">
        <v>0</v>
      </c>
      <c r="I285" s="140">
        <v>0</v>
      </c>
      <c r="J285" s="140">
        <f t="shared" si="4"/>
        <v>7</v>
      </c>
      <c r="K285" s="3"/>
    </row>
    <row r="286" spans="1:11" x14ac:dyDescent="0.3">
      <c r="A286" s="4" t="s">
        <v>693</v>
      </c>
      <c r="B286" s="138" t="s">
        <v>363</v>
      </c>
      <c r="C286" s="2" t="s">
        <v>206</v>
      </c>
      <c r="D286" s="2" t="s">
        <v>189</v>
      </c>
      <c r="E286" s="2" t="s">
        <v>541</v>
      </c>
      <c r="F286" s="139">
        <v>0</v>
      </c>
      <c r="G286" s="140">
        <v>0</v>
      </c>
      <c r="H286" s="140">
        <v>0</v>
      </c>
      <c r="I286" s="140">
        <v>0</v>
      </c>
      <c r="J286" s="140">
        <f t="shared" si="4"/>
        <v>0</v>
      </c>
      <c r="K286" s="3"/>
    </row>
    <row r="287" spans="1:11" x14ac:dyDescent="0.3">
      <c r="A287" s="4" t="s">
        <v>694</v>
      </c>
      <c r="B287" s="138" t="s">
        <v>478</v>
      </c>
      <c r="C287" s="127" t="s">
        <v>205</v>
      </c>
      <c r="D287" s="2" t="s">
        <v>189</v>
      </c>
      <c r="E287" s="2" t="s">
        <v>498</v>
      </c>
      <c r="F287" s="139">
        <v>9</v>
      </c>
      <c r="G287" s="140">
        <v>0</v>
      </c>
      <c r="H287" s="140">
        <v>0</v>
      </c>
      <c r="I287" s="140">
        <v>0</v>
      </c>
      <c r="J287" s="140">
        <f t="shared" si="4"/>
        <v>9</v>
      </c>
      <c r="K287" s="3"/>
    </row>
    <row r="288" spans="1:11" x14ac:dyDescent="0.3">
      <c r="A288" s="4" t="s">
        <v>695</v>
      </c>
      <c r="B288" s="138" t="s">
        <v>360</v>
      </c>
      <c r="C288" s="2" t="s">
        <v>202</v>
      </c>
      <c r="D288" s="2" t="s">
        <v>204</v>
      </c>
      <c r="E288" s="2" t="s">
        <v>419</v>
      </c>
      <c r="F288" s="139">
        <v>3</v>
      </c>
      <c r="G288" s="140">
        <v>0</v>
      </c>
      <c r="H288" s="140">
        <v>0</v>
      </c>
      <c r="I288" s="140">
        <v>0</v>
      </c>
      <c r="J288" s="140">
        <f t="shared" si="4"/>
        <v>3</v>
      </c>
      <c r="K288" s="3"/>
    </row>
    <row r="289" spans="1:11" x14ac:dyDescent="0.3">
      <c r="A289" s="4" t="s">
        <v>696</v>
      </c>
      <c r="B289" s="138" t="s">
        <v>360</v>
      </c>
      <c r="C289" s="2" t="s">
        <v>202</v>
      </c>
      <c r="D289" s="2" t="s">
        <v>204</v>
      </c>
      <c r="E289" s="2" t="s">
        <v>412</v>
      </c>
      <c r="F289" s="139">
        <v>10</v>
      </c>
      <c r="G289" s="140">
        <v>0</v>
      </c>
      <c r="H289" s="140">
        <v>0</v>
      </c>
      <c r="I289" s="140">
        <v>0</v>
      </c>
      <c r="J289" s="140">
        <f t="shared" si="4"/>
        <v>10</v>
      </c>
      <c r="K289" s="3"/>
    </row>
    <row r="290" spans="1:11" x14ac:dyDescent="0.3">
      <c r="A290" s="4" t="s">
        <v>697</v>
      </c>
      <c r="B290" s="138" t="s">
        <v>360</v>
      </c>
      <c r="C290" s="2" t="s">
        <v>202</v>
      </c>
      <c r="D290" s="2" t="s">
        <v>199</v>
      </c>
      <c r="E290" s="2" t="s">
        <v>428</v>
      </c>
      <c r="F290" s="139">
        <v>3</v>
      </c>
      <c r="G290" s="140">
        <v>0</v>
      </c>
      <c r="H290" s="140">
        <v>0</v>
      </c>
      <c r="I290" s="140">
        <v>0</v>
      </c>
      <c r="J290" s="140">
        <f t="shared" si="4"/>
        <v>3</v>
      </c>
      <c r="K290" s="3"/>
    </row>
    <row r="291" spans="1:11" x14ac:dyDescent="0.3">
      <c r="A291" s="4" t="s">
        <v>698</v>
      </c>
      <c r="B291" s="138" t="s">
        <v>360</v>
      </c>
      <c r="C291" s="2" t="s">
        <v>202</v>
      </c>
      <c r="D291" s="2" t="s">
        <v>199</v>
      </c>
      <c r="E291" s="2" t="s">
        <v>415</v>
      </c>
      <c r="F291" s="139">
        <v>1</v>
      </c>
      <c r="G291" s="140">
        <v>0</v>
      </c>
      <c r="H291" s="140">
        <v>0</v>
      </c>
      <c r="I291" s="140">
        <v>0</v>
      </c>
      <c r="J291" s="140">
        <f t="shared" si="4"/>
        <v>1</v>
      </c>
      <c r="K291" s="3"/>
    </row>
    <row r="292" spans="1:11" x14ac:dyDescent="0.3">
      <c r="A292" s="4" t="s">
        <v>699</v>
      </c>
      <c r="B292" s="138" t="s">
        <v>360</v>
      </c>
      <c r="C292" s="2" t="s">
        <v>202</v>
      </c>
      <c r="D292" s="2" t="s">
        <v>204</v>
      </c>
      <c r="E292" s="2" t="s">
        <v>370</v>
      </c>
      <c r="F292" s="139">
        <v>3</v>
      </c>
      <c r="G292" s="140">
        <v>0</v>
      </c>
      <c r="H292" s="140">
        <v>0</v>
      </c>
      <c r="I292" s="140">
        <v>0</v>
      </c>
      <c r="J292" s="140">
        <f t="shared" si="4"/>
        <v>3</v>
      </c>
      <c r="K292" s="3"/>
    </row>
    <row r="293" spans="1:11" x14ac:dyDescent="0.3">
      <c r="A293" s="4" t="s">
        <v>700</v>
      </c>
      <c r="B293" s="138" t="s">
        <v>360</v>
      </c>
      <c r="C293" s="2" t="s">
        <v>202</v>
      </c>
      <c r="D293" s="2" t="s">
        <v>199</v>
      </c>
      <c r="E293" s="2" t="s">
        <v>384</v>
      </c>
      <c r="F293" s="139">
        <v>1</v>
      </c>
      <c r="G293" s="140">
        <v>0</v>
      </c>
      <c r="H293" s="140">
        <v>0</v>
      </c>
      <c r="I293" s="140">
        <v>0</v>
      </c>
      <c r="J293" s="140">
        <f t="shared" si="4"/>
        <v>1</v>
      </c>
      <c r="K293" s="3"/>
    </row>
    <row r="294" spans="1:11" x14ac:dyDescent="0.3">
      <c r="A294" s="4" t="s">
        <v>701</v>
      </c>
      <c r="B294" s="138" t="s">
        <v>360</v>
      </c>
      <c r="C294" s="2" t="s">
        <v>202</v>
      </c>
      <c r="D294" s="2" t="s">
        <v>204</v>
      </c>
      <c r="E294" s="2" t="s">
        <v>538</v>
      </c>
      <c r="F294" s="139">
        <v>9</v>
      </c>
      <c r="G294" s="140">
        <v>0</v>
      </c>
      <c r="H294" s="140">
        <v>0</v>
      </c>
      <c r="I294" s="140">
        <v>0</v>
      </c>
      <c r="J294" s="140">
        <f t="shared" si="4"/>
        <v>9</v>
      </c>
      <c r="K294" s="3"/>
    </row>
    <row r="295" spans="1:11" x14ac:dyDescent="0.3">
      <c r="A295" s="4" t="s">
        <v>702</v>
      </c>
      <c r="B295" s="138" t="s">
        <v>478</v>
      </c>
      <c r="C295" s="127" t="s">
        <v>205</v>
      </c>
      <c r="D295" s="2" t="s">
        <v>196</v>
      </c>
      <c r="E295" s="2" t="s">
        <v>479</v>
      </c>
      <c r="F295" s="139">
        <v>10</v>
      </c>
      <c r="G295" s="140">
        <v>0</v>
      </c>
      <c r="H295" s="140">
        <v>0</v>
      </c>
      <c r="I295" s="140">
        <v>0</v>
      </c>
      <c r="J295" s="140">
        <f t="shared" si="4"/>
        <v>10</v>
      </c>
      <c r="K295" s="3"/>
    </row>
    <row r="296" spans="1:11" x14ac:dyDescent="0.3">
      <c r="A296" s="4" t="s">
        <v>703</v>
      </c>
      <c r="B296" s="138" t="s">
        <v>360</v>
      </c>
      <c r="C296" s="2" t="s">
        <v>202</v>
      </c>
      <c r="D296" s="2" t="s">
        <v>199</v>
      </c>
      <c r="E296" s="2" t="s">
        <v>415</v>
      </c>
      <c r="F296" s="139">
        <v>7</v>
      </c>
      <c r="G296" s="140">
        <v>0</v>
      </c>
      <c r="H296" s="140">
        <v>0</v>
      </c>
      <c r="I296" s="140">
        <v>0</v>
      </c>
      <c r="J296" s="140">
        <f t="shared" si="4"/>
        <v>7</v>
      </c>
      <c r="K296" s="3"/>
    </row>
    <row r="297" spans="1:11" x14ac:dyDescent="0.3">
      <c r="A297" s="4" t="s">
        <v>704</v>
      </c>
      <c r="B297" s="138" t="s">
        <v>363</v>
      </c>
      <c r="C297" s="2" t="s">
        <v>208</v>
      </c>
      <c r="D297" s="2" t="s">
        <v>197</v>
      </c>
      <c r="E297" s="2" t="s">
        <v>439</v>
      </c>
      <c r="F297" s="139">
        <v>13</v>
      </c>
      <c r="G297" s="140">
        <v>0</v>
      </c>
      <c r="H297" s="140">
        <v>0</v>
      </c>
      <c r="I297" s="140">
        <v>0</v>
      </c>
      <c r="J297" s="140">
        <f t="shared" si="4"/>
        <v>13</v>
      </c>
      <c r="K297" s="3"/>
    </row>
    <row r="298" spans="1:11" x14ac:dyDescent="0.3">
      <c r="A298" s="4" t="s">
        <v>705</v>
      </c>
      <c r="B298" s="138" t="s">
        <v>360</v>
      </c>
      <c r="C298" s="2" t="s">
        <v>202</v>
      </c>
      <c r="D298" s="2" t="s">
        <v>199</v>
      </c>
      <c r="E298" s="2" t="s">
        <v>459</v>
      </c>
      <c r="F298" s="139">
        <v>14</v>
      </c>
      <c r="G298" s="140">
        <v>0</v>
      </c>
      <c r="H298" s="140">
        <v>0</v>
      </c>
      <c r="I298" s="140">
        <v>0</v>
      </c>
      <c r="J298" s="140">
        <f t="shared" si="4"/>
        <v>14</v>
      </c>
      <c r="K298" s="3"/>
    </row>
    <row r="299" spans="1:11" x14ac:dyDescent="0.3">
      <c r="A299" s="4" t="s">
        <v>706</v>
      </c>
      <c r="B299" s="138" t="s">
        <v>360</v>
      </c>
      <c r="C299" s="2" t="s">
        <v>202</v>
      </c>
      <c r="D299" s="2" t="s">
        <v>200</v>
      </c>
      <c r="E299" s="2" t="s">
        <v>707</v>
      </c>
      <c r="F299" s="139">
        <v>11</v>
      </c>
      <c r="G299" s="140">
        <v>0</v>
      </c>
      <c r="H299" s="140">
        <v>0</v>
      </c>
      <c r="I299" s="140">
        <v>2</v>
      </c>
      <c r="J299" s="140">
        <f t="shared" si="4"/>
        <v>13</v>
      </c>
      <c r="K299" s="3"/>
    </row>
    <row r="300" spans="1:11" x14ac:dyDescent="0.3">
      <c r="A300" s="4" t="s">
        <v>708</v>
      </c>
      <c r="B300" s="138" t="s">
        <v>360</v>
      </c>
      <c r="C300" s="2" t="s">
        <v>202</v>
      </c>
      <c r="D300" s="2" t="s">
        <v>204</v>
      </c>
      <c r="E300" s="2" t="s">
        <v>471</v>
      </c>
      <c r="F300" s="139">
        <v>7</v>
      </c>
      <c r="G300" s="140">
        <v>0</v>
      </c>
      <c r="H300" s="140">
        <v>0</v>
      </c>
      <c r="I300" s="140">
        <v>0</v>
      </c>
      <c r="J300" s="140">
        <f t="shared" si="4"/>
        <v>7</v>
      </c>
      <c r="K300" s="3"/>
    </row>
    <row r="301" spans="1:11" x14ac:dyDescent="0.3">
      <c r="A301" s="4" t="s">
        <v>709</v>
      </c>
      <c r="B301" s="138" t="s">
        <v>478</v>
      </c>
      <c r="C301" s="127" t="s">
        <v>205</v>
      </c>
      <c r="D301" s="2" t="s">
        <v>189</v>
      </c>
      <c r="E301" s="2" t="s">
        <v>498</v>
      </c>
      <c r="F301" s="139">
        <v>8</v>
      </c>
      <c r="G301" s="140">
        <v>0</v>
      </c>
      <c r="H301" s="140">
        <v>0</v>
      </c>
      <c r="I301" s="140">
        <v>0</v>
      </c>
      <c r="J301" s="140">
        <f t="shared" si="4"/>
        <v>8</v>
      </c>
      <c r="K301" s="3"/>
    </row>
    <row r="302" spans="1:11" x14ac:dyDescent="0.3">
      <c r="A302" s="4" t="s">
        <v>710</v>
      </c>
      <c r="B302" s="138" t="s">
        <v>363</v>
      </c>
      <c r="C302" s="2" t="s">
        <v>198</v>
      </c>
      <c r="D302" s="2" t="s">
        <v>194</v>
      </c>
      <c r="E302" s="2" t="s">
        <v>434</v>
      </c>
      <c r="F302" s="139">
        <v>3</v>
      </c>
      <c r="G302" s="140">
        <v>0</v>
      </c>
      <c r="H302" s="140">
        <v>0</v>
      </c>
      <c r="I302" s="140">
        <v>0</v>
      </c>
      <c r="J302" s="140">
        <f t="shared" si="4"/>
        <v>3</v>
      </c>
      <c r="K302" s="3"/>
    </row>
    <row r="303" spans="1:11" x14ac:dyDescent="0.3">
      <c r="A303" s="4" t="s">
        <v>711</v>
      </c>
      <c r="B303" s="138" t="s">
        <v>360</v>
      </c>
      <c r="C303" s="2" t="s">
        <v>209</v>
      </c>
      <c r="D303" s="2" t="s">
        <v>207</v>
      </c>
      <c r="E303" s="2" t="s">
        <v>374</v>
      </c>
      <c r="F303" s="139">
        <v>13</v>
      </c>
      <c r="G303" s="140">
        <v>0</v>
      </c>
      <c r="H303" s="140">
        <v>0</v>
      </c>
      <c r="I303" s="140">
        <v>0</v>
      </c>
      <c r="J303" s="140">
        <f t="shared" si="4"/>
        <v>13</v>
      </c>
      <c r="K303" s="3"/>
    </row>
    <row r="304" spans="1:11" x14ac:dyDescent="0.3">
      <c r="A304" s="4" t="s">
        <v>712</v>
      </c>
      <c r="B304" s="138" t="s">
        <v>360</v>
      </c>
      <c r="C304" s="2" t="s">
        <v>202</v>
      </c>
      <c r="D304" s="2" t="s">
        <v>204</v>
      </c>
      <c r="E304" s="2" t="s">
        <v>471</v>
      </c>
      <c r="F304" s="139">
        <v>3</v>
      </c>
      <c r="G304" s="140">
        <v>0</v>
      </c>
      <c r="H304" s="140">
        <v>0</v>
      </c>
      <c r="I304" s="140">
        <v>0</v>
      </c>
      <c r="J304" s="140">
        <f t="shared" si="4"/>
        <v>3</v>
      </c>
      <c r="K304" s="3"/>
    </row>
    <row r="305" spans="1:11" x14ac:dyDescent="0.3">
      <c r="A305" s="4" t="s">
        <v>713</v>
      </c>
      <c r="B305" s="138" t="s">
        <v>360</v>
      </c>
      <c r="C305" s="2" t="s">
        <v>202</v>
      </c>
      <c r="D305" s="2" t="s">
        <v>199</v>
      </c>
      <c r="E305" s="2" t="s">
        <v>378</v>
      </c>
      <c r="F305" s="139">
        <v>11</v>
      </c>
      <c r="G305" s="140">
        <v>0</v>
      </c>
      <c r="H305" s="140">
        <v>0</v>
      </c>
      <c r="I305" s="140">
        <v>4</v>
      </c>
      <c r="J305" s="140">
        <f t="shared" si="4"/>
        <v>15</v>
      </c>
      <c r="K305" s="3"/>
    </row>
    <row r="306" spans="1:11" x14ac:dyDescent="0.3">
      <c r="A306" s="4" t="s">
        <v>714</v>
      </c>
      <c r="B306" s="138" t="s">
        <v>363</v>
      </c>
      <c r="C306" s="2" t="s">
        <v>198</v>
      </c>
      <c r="D306" s="2" t="s">
        <v>197</v>
      </c>
      <c r="E306" s="2" t="s">
        <v>409</v>
      </c>
      <c r="F306" s="139">
        <v>8</v>
      </c>
      <c r="G306" s="140">
        <v>0</v>
      </c>
      <c r="H306" s="140">
        <v>0</v>
      </c>
      <c r="I306" s="140">
        <v>0</v>
      </c>
      <c r="J306" s="140">
        <f t="shared" si="4"/>
        <v>8</v>
      </c>
      <c r="K306" s="3"/>
    </row>
    <row r="307" spans="1:11" x14ac:dyDescent="0.3">
      <c r="A307" s="4" t="s">
        <v>715</v>
      </c>
      <c r="B307" s="138" t="s">
        <v>360</v>
      </c>
      <c r="C307" s="2" t="s">
        <v>202</v>
      </c>
      <c r="D307" s="2" t="s">
        <v>199</v>
      </c>
      <c r="E307" s="2" t="s">
        <v>378</v>
      </c>
      <c r="F307" s="139">
        <v>16</v>
      </c>
      <c r="G307" s="140">
        <v>0</v>
      </c>
      <c r="H307" s="140">
        <v>0</v>
      </c>
      <c r="I307" s="140">
        <v>0</v>
      </c>
      <c r="J307" s="140">
        <f t="shared" si="4"/>
        <v>16</v>
      </c>
      <c r="K307" s="3"/>
    </row>
    <row r="308" spans="1:11" x14ac:dyDescent="0.3">
      <c r="A308" s="4" t="s">
        <v>716</v>
      </c>
      <c r="B308" s="138" t="s">
        <v>478</v>
      </c>
      <c r="C308" s="127" t="s">
        <v>205</v>
      </c>
      <c r="D308" s="2" t="s">
        <v>196</v>
      </c>
      <c r="E308" s="2" t="s">
        <v>479</v>
      </c>
      <c r="F308" s="139">
        <v>12</v>
      </c>
      <c r="G308" s="140">
        <v>2</v>
      </c>
      <c r="H308" s="140">
        <v>0</v>
      </c>
      <c r="I308" s="140">
        <v>2</v>
      </c>
      <c r="J308" s="140">
        <f t="shared" si="4"/>
        <v>16</v>
      </c>
      <c r="K308" s="3"/>
    </row>
    <row r="309" spans="1:11" x14ac:dyDescent="0.3">
      <c r="A309" s="4" t="s">
        <v>717</v>
      </c>
      <c r="B309" s="138" t="s">
        <v>360</v>
      </c>
      <c r="C309" s="2" t="s">
        <v>202</v>
      </c>
      <c r="D309" s="2" t="s">
        <v>204</v>
      </c>
      <c r="E309" s="2" t="s">
        <v>471</v>
      </c>
      <c r="F309" s="139">
        <v>6</v>
      </c>
      <c r="G309" s="140">
        <v>0</v>
      </c>
      <c r="H309" s="140">
        <v>0</v>
      </c>
      <c r="I309" s="140">
        <v>0</v>
      </c>
      <c r="J309" s="140">
        <f t="shared" si="4"/>
        <v>6</v>
      </c>
      <c r="K309" s="3"/>
    </row>
    <row r="310" spans="1:11" x14ac:dyDescent="0.3">
      <c r="A310" s="4" t="s">
        <v>718</v>
      </c>
      <c r="B310" s="138" t="s">
        <v>360</v>
      </c>
      <c r="C310" s="2" t="s">
        <v>202</v>
      </c>
      <c r="D310" s="2" t="s">
        <v>199</v>
      </c>
      <c r="E310" s="2" t="s">
        <v>378</v>
      </c>
      <c r="F310" s="139">
        <v>3</v>
      </c>
      <c r="G310" s="140">
        <v>0</v>
      </c>
      <c r="H310" s="140">
        <v>0</v>
      </c>
      <c r="I310" s="140">
        <v>0</v>
      </c>
      <c r="J310" s="140">
        <f t="shared" si="4"/>
        <v>3</v>
      </c>
      <c r="K310" s="3"/>
    </row>
    <row r="311" spans="1:11" x14ac:dyDescent="0.3">
      <c r="A311" s="4" t="s">
        <v>719</v>
      </c>
      <c r="B311" s="138" t="s">
        <v>363</v>
      </c>
      <c r="C311" s="2" t="s">
        <v>198</v>
      </c>
      <c r="D311" s="2" t="s">
        <v>200</v>
      </c>
      <c r="E311" s="2" t="s">
        <v>450</v>
      </c>
      <c r="F311" s="139">
        <v>16</v>
      </c>
      <c r="G311" s="140">
        <v>5</v>
      </c>
      <c r="H311" s="140">
        <v>0</v>
      </c>
      <c r="I311" s="140">
        <v>0</v>
      </c>
      <c r="J311" s="140">
        <f t="shared" si="4"/>
        <v>21</v>
      </c>
      <c r="K311" s="3"/>
    </row>
    <row r="312" spans="1:11" x14ac:dyDescent="0.3">
      <c r="A312" s="4" t="s">
        <v>720</v>
      </c>
      <c r="B312" s="138" t="s">
        <v>363</v>
      </c>
      <c r="C312" s="2" t="s">
        <v>198</v>
      </c>
      <c r="D312" s="2" t="s">
        <v>200</v>
      </c>
      <c r="E312" s="2" t="s">
        <v>372</v>
      </c>
      <c r="F312" s="139">
        <v>2</v>
      </c>
      <c r="G312" s="140">
        <v>0</v>
      </c>
      <c r="H312" s="140">
        <v>0</v>
      </c>
      <c r="I312" s="140">
        <v>0</v>
      </c>
      <c r="J312" s="140">
        <f t="shared" si="4"/>
        <v>2</v>
      </c>
      <c r="K312" s="3"/>
    </row>
    <row r="313" spans="1:11" x14ac:dyDescent="0.3">
      <c r="A313" s="4" t="s">
        <v>721</v>
      </c>
      <c r="B313" s="138" t="s">
        <v>363</v>
      </c>
      <c r="C313" s="2" t="s">
        <v>206</v>
      </c>
      <c r="D313" s="2" t="s">
        <v>189</v>
      </c>
      <c r="E313" s="2" t="s">
        <v>397</v>
      </c>
      <c r="F313" s="139">
        <v>3</v>
      </c>
      <c r="G313" s="140">
        <v>0</v>
      </c>
      <c r="H313" s="140">
        <v>0</v>
      </c>
      <c r="I313" s="140">
        <v>0</v>
      </c>
      <c r="J313" s="140">
        <f t="shared" si="4"/>
        <v>3</v>
      </c>
      <c r="K313" s="3"/>
    </row>
    <row r="314" spans="1:11" x14ac:dyDescent="0.3">
      <c r="A314" s="4" t="s">
        <v>722</v>
      </c>
      <c r="B314" s="138" t="s">
        <v>363</v>
      </c>
      <c r="C314" s="2" t="s">
        <v>198</v>
      </c>
      <c r="D314" s="2" t="s">
        <v>199</v>
      </c>
      <c r="E314" s="2" t="s">
        <v>432</v>
      </c>
      <c r="F314" s="139">
        <v>2</v>
      </c>
      <c r="G314" s="140">
        <v>0</v>
      </c>
      <c r="H314" s="140">
        <v>0</v>
      </c>
      <c r="I314" s="140">
        <v>0</v>
      </c>
      <c r="J314" s="140">
        <f t="shared" si="4"/>
        <v>2</v>
      </c>
      <c r="K314" s="3"/>
    </row>
    <row r="315" spans="1:11" x14ac:dyDescent="0.3">
      <c r="A315" s="4" t="s">
        <v>723</v>
      </c>
      <c r="B315" s="138" t="s">
        <v>360</v>
      </c>
      <c r="C315" s="2" t="s">
        <v>202</v>
      </c>
      <c r="D315" s="2" t="s">
        <v>204</v>
      </c>
      <c r="E315" s="2" t="s">
        <v>389</v>
      </c>
      <c r="F315" s="139">
        <v>14</v>
      </c>
      <c r="G315" s="140">
        <v>0</v>
      </c>
      <c r="H315" s="140">
        <v>0</v>
      </c>
      <c r="I315" s="140">
        <v>2</v>
      </c>
      <c r="J315" s="140">
        <f t="shared" si="4"/>
        <v>16</v>
      </c>
      <c r="K315" s="3"/>
    </row>
    <row r="316" spans="1:11" x14ac:dyDescent="0.3">
      <c r="A316" s="4" t="s">
        <v>724</v>
      </c>
      <c r="B316" s="138" t="s">
        <v>360</v>
      </c>
      <c r="C316" s="2" t="s">
        <v>202</v>
      </c>
      <c r="D316" s="2" t="s">
        <v>204</v>
      </c>
      <c r="E316" s="2" t="s">
        <v>457</v>
      </c>
      <c r="F316" s="139">
        <v>16</v>
      </c>
      <c r="G316" s="140">
        <v>0</v>
      </c>
      <c r="H316" s="140">
        <v>0</v>
      </c>
      <c r="I316" s="140">
        <v>0</v>
      </c>
      <c r="J316" s="140">
        <f t="shared" si="4"/>
        <v>16</v>
      </c>
      <c r="K316" s="3"/>
    </row>
    <row r="317" spans="1:11" x14ac:dyDescent="0.3">
      <c r="A317" s="4" t="s">
        <v>725</v>
      </c>
      <c r="B317" s="138" t="s">
        <v>360</v>
      </c>
      <c r="C317" s="2" t="s">
        <v>202</v>
      </c>
      <c r="D317" s="2" t="s">
        <v>204</v>
      </c>
      <c r="E317" s="2" t="s">
        <v>366</v>
      </c>
      <c r="F317" s="139">
        <v>2</v>
      </c>
      <c r="G317" s="140">
        <v>3</v>
      </c>
      <c r="H317" s="140">
        <v>0</v>
      </c>
      <c r="I317" s="140">
        <v>0</v>
      </c>
      <c r="J317" s="140">
        <f t="shared" si="4"/>
        <v>5</v>
      </c>
      <c r="K317" s="3"/>
    </row>
    <row r="318" spans="1:11" x14ac:dyDescent="0.3">
      <c r="A318" s="4" t="s">
        <v>726</v>
      </c>
      <c r="B318" s="138" t="s">
        <v>363</v>
      </c>
      <c r="C318" s="2" t="s">
        <v>206</v>
      </c>
      <c r="D318" s="2" t="s">
        <v>207</v>
      </c>
      <c r="E318" s="2" t="s">
        <v>443</v>
      </c>
      <c r="F318" s="139">
        <v>4</v>
      </c>
      <c r="G318" s="140">
        <v>0</v>
      </c>
      <c r="H318" s="140">
        <v>0</v>
      </c>
      <c r="I318" s="140">
        <v>0</v>
      </c>
      <c r="J318" s="140">
        <f t="shared" si="4"/>
        <v>4</v>
      </c>
      <c r="K318" s="3"/>
    </row>
    <row r="319" spans="1:11" x14ac:dyDescent="0.3">
      <c r="A319" s="4" t="s">
        <v>727</v>
      </c>
      <c r="B319" s="138" t="s">
        <v>360</v>
      </c>
      <c r="C319" s="2" t="s">
        <v>202</v>
      </c>
      <c r="D319" s="2" t="s">
        <v>204</v>
      </c>
      <c r="E319" s="2" t="s">
        <v>538</v>
      </c>
      <c r="F319" s="139">
        <v>2</v>
      </c>
      <c r="G319" s="140">
        <v>0</v>
      </c>
      <c r="H319" s="140">
        <v>0</v>
      </c>
      <c r="I319" s="140">
        <v>0</v>
      </c>
      <c r="J319" s="140">
        <f t="shared" si="4"/>
        <v>2</v>
      </c>
      <c r="K319" s="3"/>
    </row>
    <row r="320" spans="1:11" x14ac:dyDescent="0.3">
      <c r="A320" s="4" t="s">
        <v>728</v>
      </c>
      <c r="B320" s="138" t="s">
        <v>360</v>
      </c>
      <c r="C320" s="2" t="s">
        <v>202</v>
      </c>
      <c r="D320" s="2" t="s">
        <v>204</v>
      </c>
      <c r="E320" s="2" t="s">
        <v>389</v>
      </c>
      <c r="F320" s="139">
        <v>0</v>
      </c>
      <c r="G320" s="140">
        <v>0</v>
      </c>
      <c r="H320" s="140">
        <v>0</v>
      </c>
      <c r="I320" s="140">
        <v>0</v>
      </c>
      <c r="J320" s="140">
        <f t="shared" si="4"/>
        <v>0</v>
      </c>
      <c r="K320" s="3"/>
    </row>
    <row r="321" spans="1:11" x14ac:dyDescent="0.3">
      <c r="A321" s="4" t="s">
        <v>729</v>
      </c>
      <c r="B321" s="138" t="s">
        <v>360</v>
      </c>
      <c r="C321" s="2" t="s">
        <v>202</v>
      </c>
      <c r="D321" s="2" t="s">
        <v>199</v>
      </c>
      <c r="E321" s="2" t="s">
        <v>428</v>
      </c>
      <c r="F321" s="139">
        <v>1</v>
      </c>
      <c r="G321" s="140">
        <v>0</v>
      </c>
      <c r="H321" s="140">
        <v>0</v>
      </c>
      <c r="I321" s="140">
        <v>0</v>
      </c>
      <c r="J321" s="140">
        <f t="shared" si="4"/>
        <v>1</v>
      </c>
      <c r="K321" s="3"/>
    </row>
    <row r="322" spans="1:11" x14ac:dyDescent="0.3">
      <c r="A322" s="4" t="s">
        <v>730</v>
      </c>
      <c r="B322" s="138" t="s">
        <v>360</v>
      </c>
      <c r="C322" s="2" t="s">
        <v>202</v>
      </c>
      <c r="D322" s="2" t="s">
        <v>199</v>
      </c>
      <c r="E322" s="2" t="s">
        <v>454</v>
      </c>
      <c r="F322" s="139">
        <v>3</v>
      </c>
      <c r="G322" s="140">
        <v>0</v>
      </c>
      <c r="H322" s="140">
        <v>0</v>
      </c>
      <c r="I322" s="140">
        <v>0</v>
      </c>
      <c r="J322" s="140">
        <f t="shared" si="4"/>
        <v>3</v>
      </c>
      <c r="K322" s="3"/>
    </row>
    <row r="323" spans="1:11" x14ac:dyDescent="0.3">
      <c r="A323" s="4" t="s">
        <v>731</v>
      </c>
      <c r="B323" s="138" t="s">
        <v>360</v>
      </c>
      <c r="C323" s="2" t="s">
        <v>202</v>
      </c>
      <c r="D323" s="2" t="s">
        <v>199</v>
      </c>
      <c r="E323" s="2" t="s">
        <v>415</v>
      </c>
      <c r="F323" s="139">
        <v>1</v>
      </c>
      <c r="G323" s="140">
        <v>40</v>
      </c>
      <c r="H323" s="140">
        <v>0</v>
      </c>
      <c r="I323" s="140">
        <v>0</v>
      </c>
      <c r="J323" s="140">
        <f t="shared" si="4"/>
        <v>41</v>
      </c>
      <c r="K323" s="3"/>
    </row>
    <row r="324" spans="1:11" x14ac:dyDescent="0.3">
      <c r="A324" s="4" t="s">
        <v>732</v>
      </c>
      <c r="B324" s="138" t="s">
        <v>363</v>
      </c>
      <c r="C324" s="2" t="s">
        <v>198</v>
      </c>
      <c r="D324" s="2" t="s">
        <v>199</v>
      </c>
      <c r="E324" s="2" t="s">
        <v>402</v>
      </c>
      <c r="F324" s="139">
        <v>14</v>
      </c>
      <c r="G324" s="140">
        <v>0</v>
      </c>
      <c r="H324" s="140">
        <v>0</v>
      </c>
      <c r="I324" s="140">
        <v>0</v>
      </c>
      <c r="J324" s="140">
        <f t="shared" si="4"/>
        <v>14</v>
      </c>
      <c r="K324" s="3"/>
    </row>
    <row r="325" spans="1:11" x14ac:dyDescent="0.3">
      <c r="A325" s="4" t="s">
        <v>733</v>
      </c>
      <c r="B325" s="138" t="s">
        <v>360</v>
      </c>
      <c r="C325" s="2" t="s">
        <v>202</v>
      </c>
      <c r="D325" s="2" t="s">
        <v>204</v>
      </c>
      <c r="E325" s="2" t="s">
        <v>462</v>
      </c>
      <c r="F325" s="139">
        <v>15</v>
      </c>
      <c r="G325" s="140">
        <v>0</v>
      </c>
      <c r="H325" s="140">
        <v>0</v>
      </c>
      <c r="I325" s="140">
        <v>0</v>
      </c>
      <c r="J325" s="140">
        <f t="shared" ref="J325:J388" si="5">SUM(F325:I325)</f>
        <v>15</v>
      </c>
      <c r="K325" s="3"/>
    </row>
    <row r="326" spans="1:11" x14ac:dyDescent="0.3">
      <c r="A326" s="4" t="s">
        <v>734</v>
      </c>
      <c r="B326" s="138" t="s">
        <v>363</v>
      </c>
      <c r="C326" s="2" t="s">
        <v>206</v>
      </c>
      <c r="D326" s="2" t="s">
        <v>189</v>
      </c>
      <c r="E326" s="2" t="s">
        <v>397</v>
      </c>
      <c r="F326" s="139">
        <v>10</v>
      </c>
      <c r="G326" s="140">
        <v>0</v>
      </c>
      <c r="H326" s="140">
        <v>0</v>
      </c>
      <c r="I326" s="140">
        <v>0</v>
      </c>
      <c r="J326" s="140">
        <f t="shared" si="5"/>
        <v>10</v>
      </c>
      <c r="K326" s="3"/>
    </row>
    <row r="327" spans="1:11" x14ac:dyDescent="0.3">
      <c r="A327" s="4" t="s">
        <v>735</v>
      </c>
      <c r="B327" s="138" t="s">
        <v>360</v>
      </c>
      <c r="C327" s="2" t="s">
        <v>202</v>
      </c>
      <c r="D327" s="2" t="s">
        <v>204</v>
      </c>
      <c r="E327" s="2" t="s">
        <v>419</v>
      </c>
      <c r="F327" s="139">
        <v>4</v>
      </c>
      <c r="G327" s="140">
        <v>0</v>
      </c>
      <c r="H327" s="140">
        <v>0</v>
      </c>
      <c r="I327" s="140">
        <v>0</v>
      </c>
      <c r="J327" s="140">
        <f t="shared" si="5"/>
        <v>4</v>
      </c>
      <c r="K327" s="3"/>
    </row>
    <row r="328" spans="1:11" x14ac:dyDescent="0.3">
      <c r="A328" s="4" t="s">
        <v>736</v>
      </c>
      <c r="B328" s="138" t="s">
        <v>360</v>
      </c>
      <c r="C328" s="2" t="s">
        <v>202</v>
      </c>
      <c r="D328" s="2" t="s">
        <v>204</v>
      </c>
      <c r="E328" s="2" t="s">
        <v>412</v>
      </c>
      <c r="F328" s="139">
        <v>2</v>
      </c>
      <c r="G328" s="140">
        <v>0</v>
      </c>
      <c r="H328" s="140">
        <v>0</v>
      </c>
      <c r="I328" s="140">
        <v>0</v>
      </c>
      <c r="J328" s="140">
        <f t="shared" si="5"/>
        <v>2</v>
      </c>
      <c r="K328" s="3"/>
    </row>
    <row r="329" spans="1:11" x14ac:dyDescent="0.3">
      <c r="A329" s="4" t="s">
        <v>737</v>
      </c>
      <c r="B329" s="138" t="s">
        <v>363</v>
      </c>
      <c r="C329" s="2" t="s">
        <v>198</v>
      </c>
      <c r="D329" s="2" t="s">
        <v>200</v>
      </c>
      <c r="E329" s="2" t="s">
        <v>450</v>
      </c>
      <c r="F329" s="139">
        <v>9</v>
      </c>
      <c r="G329" s="140">
        <v>0</v>
      </c>
      <c r="H329" s="140">
        <v>0</v>
      </c>
      <c r="I329" s="140">
        <v>0</v>
      </c>
      <c r="J329" s="140">
        <f t="shared" si="5"/>
        <v>9</v>
      </c>
      <c r="K329" s="3"/>
    </row>
    <row r="330" spans="1:11" x14ac:dyDescent="0.3">
      <c r="A330" s="4" t="s">
        <v>738</v>
      </c>
      <c r="B330" s="138" t="s">
        <v>360</v>
      </c>
      <c r="C330" s="2" t="s">
        <v>202</v>
      </c>
      <c r="D330" s="2" t="s">
        <v>204</v>
      </c>
      <c r="E330" s="2" t="s">
        <v>457</v>
      </c>
      <c r="F330" s="139">
        <v>14</v>
      </c>
      <c r="G330" s="140">
        <v>0</v>
      </c>
      <c r="H330" s="140">
        <v>0</v>
      </c>
      <c r="I330" s="140">
        <v>0</v>
      </c>
      <c r="J330" s="140">
        <f t="shared" si="5"/>
        <v>14</v>
      </c>
      <c r="K330" s="3"/>
    </row>
    <row r="331" spans="1:11" x14ac:dyDescent="0.3">
      <c r="A331" s="4" t="s">
        <v>739</v>
      </c>
      <c r="B331" s="138" t="s">
        <v>360</v>
      </c>
      <c r="C331" s="2" t="s">
        <v>202</v>
      </c>
      <c r="D331" s="2" t="s">
        <v>199</v>
      </c>
      <c r="E331" s="2" t="s">
        <v>415</v>
      </c>
      <c r="F331" s="139">
        <v>2</v>
      </c>
      <c r="G331" s="140">
        <v>0</v>
      </c>
      <c r="H331" s="140">
        <v>0</v>
      </c>
      <c r="I331" s="140">
        <v>0</v>
      </c>
      <c r="J331" s="140">
        <f t="shared" si="5"/>
        <v>2</v>
      </c>
      <c r="K331" s="3"/>
    </row>
    <row r="332" spans="1:11" x14ac:dyDescent="0.3">
      <c r="A332" s="4" t="s">
        <v>740</v>
      </c>
      <c r="B332" s="138" t="s">
        <v>360</v>
      </c>
      <c r="C332" s="2" t="s">
        <v>209</v>
      </c>
      <c r="D332" s="2" t="s">
        <v>207</v>
      </c>
      <c r="E332" s="2" t="s">
        <v>374</v>
      </c>
      <c r="F332" s="139">
        <v>2</v>
      </c>
      <c r="G332" s="140">
        <v>0</v>
      </c>
      <c r="H332" s="140">
        <v>0</v>
      </c>
      <c r="I332" s="140">
        <v>0</v>
      </c>
      <c r="J332" s="140">
        <f t="shared" si="5"/>
        <v>2</v>
      </c>
      <c r="K332" s="3"/>
    </row>
    <row r="333" spans="1:11" x14ac:dyDescent="0.3">
      <c r="A333" s="4" t="s">
        <v>741</v>
      </c>
      <c r="B333" s="138" t="s">
        <v>363</v>
      </c>
      <c r="C333" s="2" t="s">
        <v>206</v>
      </c>
      <c r="D333" s="2" t="s">
        <v>189</v>
      </c>
      <c r="E333" s="2" t="s">
        <v>541</v>
      </c>
      <c r="F333" s="139">
        <v>3</v>
      </c>
      <c r="G333" s="140">
        <v>0</v>
      </c>
      <c r="H333" s="140">
        <v>0</v>
      </c>
      <c r="I333" s="140">
        <v>0</v>
      </c>
      <c r="J333" s="140">
        <f t="shared" si="5"/>
        <v>3</v>
      </c>
      <c r="K333" s="3"/>
    </row>
    <row r="334" spans="1:11" x14ac:dyDescent="0.3">
      <c r="A334" s="4" t="s">
        <v>742</v>
      </c>
      <c r="B334" s="138" t="s">
        <v>360</v>
      </c>
      <c r="C334" s="2" t="s">
        <v>202</v>
      </c>
      <c r="D334" s="2" t="s">
        <v>197</v>
      </c>
      <c r="E334" s="2" t="s">
        <v>580</v>
      </c>
      <c r="F334" s="139">
        <v>3</v>
      </c>
      <c r="G334" s="140">
        <v>0</v>
      </c>
      <c r="H334" s="140">
        <v>0</v>
      </c>
      <c r="I334" s="140">
        <v>0</v>
      </c>
      <c r="J334" s="140">
        <f t="shared" si="5"/>
        <v>3</v>
      </c>
      <c r="K334" s="3"/>
    </row>
    <row r="335" spans="1:11" x14ac:dyDescent="0.3">
      <c r="A335" s="4" t="s">
        <v>743</v>
      </c>
      <c r="B335" s="138" t="s">
        <v>360</v>
      </c>
      <c r="C335" s="2" t="s">
        <v>202</v>
      </c>
      <c r="D335" s="2" t="s">
        <v>199</v>
      </c>
      <c r="E335" s="2" t="s">
        <v>393</v>
      </c>
      <c r="F335" s="139">
        <v>2</v>
      </c>
      <c r="G335" s="140">
        <v>0</v>
      </c>
      <c r="H335" s="140">
        <v>0</v>
      </c>
      <c r="I335" s="140">
        <v>0</v>
      </c>
      <c r="J335" s="140">
        <f t="shared" si="5"/>
        <v>2</v>
      </c>
      <c r="K335" s="3"/>
    </row>
    <row r="336" spans="1:11" x14ac:dyDescent="0.3">
      <c r="A336" s="4" t="s">
        <v>744</v>
      </c>
      <c r="B336" s="138" t="s">
        <v>360</v>
      </c>
      <c r="C336" s="2" t="s">
        <v>188</v>
      </c>
      <c r="D336" s="2" t="s">
        <v>196</v>
      </c>
      <c r="E336" s="2" t="s">
        <v>423</v>
      </c>
      <c r="F336" s="139">
        <v>15</v>
      </c>
      <c r="G336" s="140">
        <v>0</v>
      </c>
      <c r="H336" s="140">
        <v>0</v>
      </c>
      <c r="I336" s="140">
        <v>0</v>
      </c>
      <c r="J336" s="140">
        <f t="shared" si="5"/>
        <v>15</v>
      </c>
      <c r="K336" s="3"/>
    </row>
    <row r="337" spans="1:11" x14ac:dyDescent="0.3">
      <c r="A337" s="4" t="s">
        <v>745</v>
      </c>
      <c r="B337" s="138" t="s">
        <v>360</v>
      </c>
      <c r="C337" s="2" t="s">
        <v>202</v>
      </c>
      <c r="D337" s="2" t="s">
        <v>204</v>
      </c>
      <c r="E337" s="2" t="s">
        <v>412</v>
      </c>
      <c r="F337" s="139">
        <v>11</v>
      </c>
      <c r="G337" s="140">
        <v>0</v>
      </c>
      <c r="H337" s="140">
        <v>0</v>
      </c>
      <c r="I337" s="140">
        <v>9</v>
      </c>
      <c r="J337" s="140">
        <f t="shared" si="5"/>
        <v>20</v>
      </c>
      <c r="K337" s="3"/>
    </row>
    <row r="338" spans="1:11" x14ac:dyDescent="0.3">
      <c r="A338" s="4" t="s">
        <v>746</v>
      </c>
      <c r="B338" s="138" t="s">
        <v>360</v>
      </c>
      <c r="C338" s="2" t="s">
        <v>202</v>
      </c>
      <c r="D338" s="2" t="s">
        <v>200</v>
      </c>
      <c r="E338" s="2" t="s">
        <v>707</v>
      </c>
      <c r="F338" s="139">
        <v>1</v>
      </c>
      <c r="G338" s="140">
        <v>0</v>
      </c>
      <c r="H338" s="140">
        <v>0</v>
      </c>
      <c r="I338" s="140">
        <v>0</v>
      </c>
      <c r="J338" s="140">
        <f t="shared" si="5"/>
        <v>1</v>
      </c>
      <c r="K338" s="3"/>
    </row>
    <row r="339" spans="1:11" x14ac:dyDescent="0.3">
      <c r="A339" s="4" t="s">
        <v>747</v>
      </c>
      <c r="B339" s="138" t="s">
        <v>360</v>
      </c>
      <c r="C339" s="2" t="s">
        <v>202</v>
      </c>
      <c r="D339" s="127" t="s">
        <v>203</v>
      </c>
      <c r="E339" s="2" t="s">
        <v>399</v>
      </c>
      <c r="F339" s="139">
        <v>7</v>
      </c>
      <c r="G339" s="140">
        <v>0</v>
      </c>
      <c r="H339" s="140">
        <v>0</v>
      </c>
      <c r="I339" s="140">
        <v>0</v>
      </c>
      <c r="J339" s="140">
        <f t="shared" si="5"/>
        <v>7</v>
      </c>
      <c r="K339" s="3"/>
    </row>
    <row r="340" spans="1:11" x14ac:dyDescent="0.3">
      <c r="A340" s="4" t="s">
        <v>748</v>
      </c>
      <c r="B340" s="138" t="s">
        <v>360</v>
      </c>
      <c r="C340" s="2" t="s">
        <v>202</v>
      </c>
      <c r="D340" s="2" t="s">
        <v>199</v>
      </c>
      <c r="E340" s="2" t="s">
        <v>378</v>
      </c>
      <c r="F340" s="139">
        <v>0</v>
      </c>
      <c r="G340" s="140">
        <v>0</v>
      </c>
      <c r="H340" s="140">
        <v>0</v>
      </c>
      <c r="I340" s="140">
        <v>0</v>
      </c>
      <c r="J340" s="140">
        <f t="shared" si="5"/>
        <v>0</v>
      </c>
      <c r="K340" s="3"/>
    </row>
    <row r="341" spans="1:11" x14ac:dyDescent="0.3">
      <c r="A341" s="4" t="s">
        <v>749</v>
      </c>
      <c r="B341" s="138" t="s">
        <v>363</v>
      </c>
      <c r="C341" s="2" t="s">
        <v>198</v>
      </c>
      <c r="D341" s="2" t="s">
        <v>197</v>
      </c>
      <c r="E341" s="2" t="s">
        <v>409</v>
      </c>
      <c r="F341" s="139">
        <v>15</v>
      </c>
      <c r="G341" s="140">
        <v>0</v>
      </c>
      <c r="H341" s="140">
        <v>0</v>
      </c>
      <c r="I341" s="140">
        <v>0</v>
      </c>
      <c r="J341" s="140">
        <f t="shared" si="5"/>
        <v>15</v>
      </c>
      <c r="K341" s="3"/>
    </row>
    <row r="342" spans="1:11" x14ac:dyDescent="0.3">
      <c r="A342" s="4" t="s">
        <v>750</v>
      </c>
      <c r="B342" s="138" t="s">
        <v>360</v>
      </c>
      <c r="C342" s="2" t="s">
        <v>202</v>
      </c>
      <c r="D342" s="2" t="s">
        <v>204</v>
      </c>
      <c r="E342" s="2" t="s">
        <v>361</v>
      </c>
      <c r="F342" s="139">
        <v>7</v>
      </c>
      <c r="G342" s="140">
        <v>0</v>
      </c>
      <c r="H342" s="140">
        <v>0</v>
      </c>
      <c r="I342" s="140">
        <v>0</v>
      </c>
      <c r="J342" s="140">
        <f t="shared" si="5"/>
        <v>7</v>
      </c>
      <c r="K342" s="3"/>
    </row>
    <row r="343" spans="1:11" x14ac:dyDescent="0.3">
      <c r="A343" s="4" t="s">
        <v>751</v>
      </c>
      <c r="B343" s="138" t="s">
        <v>360</v>
      </c>
      <c r="C343" s="2" t="s">
        <v>202</v>
      </c>
      <c r="D343" s="2" t="s">
        <v>194</v>
      </c>
      <c r="E343" s="2" t="s">
        <v>488</v>
      </c>
      <c r="F343" s="139">
        <v>12</v>
      </c>
      <c r="G343" s="140">
        <v>0</v>
      </c>
      <c r="H343" s="140">
        <v>0</v>
      </c>
      <c r="I343" s="140">
        <v>0</v>
      </c>
      <c r="J343" s="140">
        <f t="shared" si="5"/>
        <v>12</v>
      </c>
      <c r="K343" s="3"/>
    </row>
    <row r="344" spans="1:11" x14ac:dyDescent="0.3">
      <c r="A344" s="4" t="s">
        <v>752</v>
      </c>
      <c r="B344" s="138" t="s">
        <v>360</v>
      </c>
      <c r="C344" s="2" t="s">
        <v>202</v>
      </c>
      <c r="D344" s="2" t="s">
        <v>204</v>
      </c>
      <c r="E344" s="2" t="s">
        <v>538</v>
      </c>
      <c r="F344" s="139">
        <v>8</v>
      </c>
      <c r="G344" s="140">
        <v>8</v>
      </c>
      <c r="H344" s="140">
        <v>0</v>
      </c>
      <c r="I344" s="140">
        <v>0</v>
      </c>
      <c r="J344" s="140">
        <f t="shared" si="5"/>
        <v>16</v>
      </c>
      <c r="K344" s="3"/>
    </row>
    <row r="345" spans="1:11" x14ac:dyDescent="0.3">
      <c r="A345" s="4" t="s">
        <v>753</v>
      </c>
      <c r="B345" s="138" t="s">
        <v>360</v>
      </c>
      <c r="C345" s="2" t="s">
        <v>188</v>
      </c>
      <c r="D345" s="2" t="s">
        <v>196</v>
      </c>
      <c r="E345" s="2" t="s">
        <v>395</v>
      </c>
      <c r="F345" s="139">
        <v>1</v>
      </c>
      <c r="G345" s="140">
        <v>0</v>
      </c>
      <c r="H345" s="140">
        <v>0</v>
      </c>
      <c r="I345" s="140">
        <v>0</v>
      </c>
      <c r="J345" s="140">
        <f t="shared" si="5"/>
        <v>1</v>
      </c>
      <c r="K345" s="3"/>
    </row>
    <row r="346" spans="1:11" x14ac:dyDescent="0.3">
      <c r="A346" s="4" t="s">
        <v>754</v>
      </c>
      <c r="B346" s="138" t="s">
        <v>360</v>
      </c>
      <c r="C346" s="2" t="s">
        <v>202</v>
      </c>
      <c r="D346" s="2" t="s">
        <v>204</v>
      </c>
      <c r="E346" s="2" t="s">
        <v>471</v>
      </c>
      <c r="F346" s="139">
        <v>9</v>
      </c>
      <c r="G346" s="140">
        <v>0</v>
      </c>
      <c r="H346" s="140">
        <v>0</v>
      </c>
      <c r="I346" s="140">
        <v>0</v>
      </c>
      <c r="J346" s="140">
        <f t="shared" si="5"/>
        <v>9</v>
      </c>
      <c r="K346" s="3"/>
    </row>
    <row r="347" spans="1:11" x14ac:dyDescent="0.3">
      <c r="A347" s="4" t="s">
        <v>755</v>
      </c>
      <c r="B347" s="138" t="s">
        <v>360</v>
      </c>
      <c r="C347" s="2" t="s">
        <v>202</v>
      </c>
      <c r="D347" s="2" t="s">
        <v>199</v>
      </c>
      <c r="E347" s="2" t="s">
        <v>384</v>
      </c>
      <c r="F347" s="139">
        <v>2</v>
      </c>
      <c r="G347" s="140">
        <v>0</v>
      </c>
      <c r="H347" s="140">
        <v>0</v>
      </c>
      <c r="I347" s="140">
        <v>0</v>
      </c>
      <c r="J347" s="140">
        <f t="shared" si="5"/>
        <v>2</v>
      </c>
      <c r="K347" s="3"/>
    </row>
    <row r="348" spans="1:11" x14ac:dyDescent="0.3">
      <c r="A348" s="4" t="s">
        <v>756</v>
      </c>
      <c r="B348" s="138" t="s">
        <v>360</v>
      </c>
      <c r="C348" s="2" t="s">
        <v>209</v>
      </c>
      <c r="D348" s="2" t="s">
        <v>207</v>
      </c>
      <c r="E348" s="2" t="s">
        <v>374</v>
      </c>
      <c r="F348" s="139">
        <v>1</v>
      </c>
      <c r="G348" s="140">
        <v>0</v>
      </c>
      <c r="H348" s="140">
        <v>0</v>
      </c>
      <c r="I348" s="140">
        <v>0</v>
      </c>
      <c r="J348" s="140">
        <f t="shared" si="5"/>
        <v>1</v>
      </c>
      <c r="K348" s="3"/>
    </row>
    <row r="349" spans="1:11" x14ac:dyDescent="0.3">
      <c r="A349" s="4" t="s">
        <v>757</v>
      </c>
      <c r="B349" s="138" t="s">
        <v>360</v>
      </c>
      <c r="C349" s="2" t="s">
        <v>202</v>
      </c>
      <c r="D349" s="2" t="s">
        <v>199</v>
      </c>
      <c r="E349" s="2" t="s">
        <v>473</v>
      </c>
      <c r="F349" s="139">
        <v>1</v>
      </c>
      <c r="G349" s="140">
        <v>29</v>
      </c>
      <c r="H349" s="140">
        <v>0</v>
      </c>
      <c r="I349" s="140">
        <v>0</v>
      </c>
      <c r="J349" s="140">
        <f t="shared" si="5"/>
        <v>30</v>
      </c>
      <c r="K349" s="3"/>
    </row>
    <row r="350" spans="1:11" x14ac:dyDescent="0.3">
      <c r="A350" s="4" t="s">
        <v>758</v>
      </c>
      <c r="B350" s="138" t="s">
        <v>363</v>
      </c>
      <c r="C350" s="2" t="s">
        <v>198</v>
      </c>
      <c r="D350" s="2" t="s">
        <v>200</v>
      </c>
      <c r="E350" s="2" t="s">
        <v>450</v>
      </c>
      <c r="F350" s="139">
        <v>2</v>
      </c>
      <c r="G350" s="140">
        <v>0</v>
      </c>
      <c r="H350" s="140">
        <v>0</v>
      </c>
      <c r="I350" s="140">
        <v>0</v>
      </c>
      <c r="J350" s="140">
        <f t="shared" si="5"/>
        <v>2</v>
      </c>
      <c r="K350" s="3"/>
    </row>
    <row r="351" spans="1:11" x14ac:dyDescent="0.3">
      <c r="A351" s="4" t="s">
        <v>759</v>
      </c>
      <c r="B351" s="138" t="s">
        <v>360</v>
      </c>
      <c r="C351" s="2" t="s">
        <v>202</v>
      </c>
      <c r="D351" s="2" t="s">
        <v>204</v>
      </c>
      <c r="E351" s="2" t="s">
        <v>471</v>
      </c>
      <c r="F351" s="139">
        <v>14</v>
      </c>
      <c r="G351" s="140">
        <v>0</v>
      </c>
      <c r="H351" s="140">
        <v>0</v>
      </c>
      <c r="I351" s="140">
        <v>23</v>
      </c>
      <c r="J351" s="140">
        <f t="shared" si="5"/>
        <v>37</v>
      </c>
      <c r="K351" s="3"/>
    </row>
    <row r="352" spans="1:11" x14ac:dyDescent="0.3">
      <c r="A352" s="4" t="s">
        <v>760</v>
      </c>
      <c r="B352" s="138" t="s">
        <v>360</v>
      </c>
      <c r="C352" s="2" t="s">
        <v>202</v>
      </c>
      <c r="D352" s="2" t="s">
        <v>199</v>
      </c>
      <c r="E352" s="2" t="s">
        <v>378</v>
      </c>
      <c r="F352" s="139">
        <v>16</v>
      </c>
      <c r="G352" s="140">
        <v>0</v>
      </c>
      <c r="H352" s="140">
        <v>0</v>
      </c>
      <c r="I352" s="140">
        <v>0</v>
      </c>
      <c r="J352" s="140">
        <f t="shared" si="5"/>
        <v>16</v>
      </c>
      <c r="K352" s="3"/>
    </row>
    <row r="353" spans="1:11" x14ac:dyDescent="0.3">
      <c r="A353" s="4" t="s">
        <v>761</v>
      </c>
      <c r="B353" s="138" t="s">
        <v>360</v>
      </c>
      <c r="C353" s="2" t="s">
        <v>202</v>
      </c>
      <c r="D353" s="2" t="s">
        <v>204</v>
      </c>
      <c r="E353" s="2" t="s">
        <v>471</v>
      </c>
      <c r="F353" s="139">
        <v>16</v>
      </c>
      <c r="G353" s="140">
        <v>2</v>
      </c>
      <c r="H353" s="140">
        <v>0</v>
      </c>
      <c r="I353" s="140">
        <v>0</v>
      </c>
      <c r="J353" s="140">
        <f t="shared" si="5"/>
        <v>18</v>
      </c>
      <c r="K353" s="3"/>
    </row>
    <row r="354" spans="1:11" x14ac:dyDescent="0.3">
      <c r="A354" s="4" t="s">
        <v>762</v>
      </c>
      <c r="B354" s="138" t="s">
        <v>363</v>
      </c>
      <c r="C354" s="2" t="s">
        <v>198</v>
      </c>
      <c r="D354" s="2" t="s">
        <v>197</v>
      </c>
      <c r="E354" s="2" t="s">
        <v>409</v>
      </c>
      <c r="F354" s="139">
        <v>7</v>
      </c>
      <c r="G354" s="140">
        <v>0</v>
      </c>
      <c r="H354" s="140">
        <v>0</v>
      </c>
      <c r="I354" s="140">
        <v>0</v>
      </c>
      <c r="J354" s="140">
        <f t="shared" si="5"/>
        <v>7</v>
      </c>
      <c r="K354" s="3"/>
    </row>
    <row r="355" spans="1:11" x14ac:dyDescent="0.3">
      <c r="A355" s="4" t="s">
        <v>763</v>
      </c>
      <c r="B355" s="138" t="s">
        <v>478</v>
      </c>
      <c r="C355" s="127" t="s">
        <v>205</v>
      </c>
      <c r="D355" s="2" t="s">
        <v>196</v>
      </c>
      <c r="E355" s="2" t="s">
        <v>479</v>
      </c>
      <c r="F355" s="139">
        <v>14</v>
      </c>
      <c r="G355" s="140">
        <v>0</v>
      </c>
      <c r="H355" s="140">
        <v>0</v>
      </c>
      <c r="I355" s="140">
        <v>12</v>
      </c>
      <c r="J355" s="140">
        <f t="shared" si="5"/>
        <v>26</v>
      </c>
      <c r="K355" s="3"/>
    </row>
    <row r="356" spans="1:11" x14ac:dyDescent="0.3">
      <c r="A356" s="4" t="s">
        <v>764</v>
      </c>
      <c r="B356" s="138" t="s">
        <v>360</v>
      </c>
      <c r="C356" s="2" t="s">
        <v>202</v>
      </c>
      <c r="D356" s="2" t="s">
        <v>199</v>
      </c>
      <c r="E356" s="2" t="s">
        <v>393</v>
      </c>
      <c r="F356" s="139">
        <v>14</v>
      </c>
      <c r="G356" s="140">
        <v>0</v>
      </c>
      <c r="H356" s="140">
        <v>0</v>
      </c>
      <c r="I356" s="140">
        <v>0</v>
      </c>
      <c r="J356" s="140">
        <f t="shared" si="5"/>
        <v>14</v>
      </c>
      <c r="K356" s="3"/>
    </row>
    <row r="357" spans="1:11" x14ac:dyDescent="0.3">
      <c r="A357" s="4" t="s">
        <v>765</v>
      </c>
      <c r="B357" s="138" t="s">
        <v>360</v>
      </c>
      <c r="C357" s="2" t="s">
        <v>202</v>
      </c>
      <c r="D357" s="2" t="s">
        <v>199</v>
      </c>
      <c r="E357" s="2" t="s">
        <v>415</v>
      </c>
      <c r="F357" s="139">
        <v>1</v>
      </c>
      <c r="G357" s="140">
        <v>0</v>
      </c>
      <c r="H357" s="140">
        <v>0</v>
      </c>
      <c r="I357" s="140">
        <v>0</v>
      </c>
      <c r="J357" s="140">
        <f t="shared" si="5"/>
        <v>1</v>
      </c>
      <c r="K357" s="3"/>
    </row>
    <row r="358" spans="1:11" x14ac:dyDescent="0.3">
      <c r="A358" s="4" t="s">
        <v>766</v>
      </c>
      <c r="B358" s="138" t="s">
        <v>360</v>
      </c>
      <c r="C358" s="2" t="s">
        <v>188</v>
      </c>
      <c r="D358" s="2" t="s">
        <v>189</v>
      </c>
      <c r="E358" s="2" t="s">
        <v>421</v>
      </c>
      <c r="F358" s="139">
        <v>10</v>
      </c>
      <c r="G358" s="140">
        <v>0</v>
      </c>
      <c r="H358" s="140">
        <v>0</v>
      </c>
      <c r="I358" s="140">
        <v>0</v>
      </c>
      <c r="J358" s="140">
        <f t="shared" si="5"/>
        <v>10</v>
      </c>
      <c r="K358" s="3"/>
    </row>
    <row r="359" spans="1:11" x14ac:dyDescent="0.3">
      <c r="A359" s="4" t="s">
        <v>767</v>
      </c>
      <c r="B359" s="138" t="s">
        <v>360</v>
      </c>
      <c r="C359" s="2" t="s">
        <v>202</v>
      </c>
      <c r="D359" s="2" t="s">
        <v>204</v>
      </c>
      <c r="E359" s="2" t="s">
        <v>419</v>
      </c>
      <c r="F359" s="139">
        <v>10</v>
      </c>
      <c r="G359" s="140">
        <v>0</v>
      </c>
      <c r="H359" s="140">
        <v>1</v>
      </c>
      <c r="I359" s="140">
        <v>0</v>
      </c>
      <c r="J359" s="140">
        <f t="shared" si="5"/>
        <v>11</v>
      </c>
      <c r="K359" s="3"/>
    </row>
    <row r="360" spans="1:11" x14ac:dyDescent="0.3">
      <c r="A360" s="4" t="s">
        <v>768</v>
      </c>
      <c r="B360" s="138" t="s">
        <v>360</v>
      </c>
      <c r="C360" s="2" t="s">
        <v>202</v>
      </c>
      <c r="D360" s="2" t="s">
        <v>204</v>
      </c>
      <c r="E360" s="2" t="s">
        <v>538</v>
      </c>
      <c r="F360" s="139">
        <v>0</v>
      </c>
      <c r="G360" s="140">
        <v>0</v>
      </c>
      <c r="H360" s="140">
        <v>0</v>
      </c>
      <c r="I360" s="140">
        <v>0</v>
      </c>
      <c r="J360" s="140">
        <f t="shared" si="5"/>
        <v>0</v>
      </c>
      <c r="K360" s="3"/>
    </row>
    <row r="361" spans="1:11" x14ac:dyDescent="0.3">
      <c r="A361" s="4" t="s">
        <v>769</v>
      </c>
      <c r="B361" s="138" t="s">
        <v>360</v>
      </c>
      <c r="C361" s="2" t="s">
        <v>188</v>
      </c>
      <c r="D361" s="2" t="s">
        <v>196</v>
      </c>
      <c r="E361" s="2" t="s">
        <v>395</v>
      </c>
      <c r="F361" s="139">
        <v>2</v>
      </c>
      <c r="G361" s="140">
        <v>0</v>
      </c>
      <c r="H361" s="140">
        <v>0</v>
      </c>
      <c r="I361" s="140">
        <v>0</v>
      </c>
      <c r="J361" s="140">
        <f t="shared" si="5"/>
        <v>2</v>
      </c>
      <c r="K361" s="3"/>
    </row>
    <row r="362" spans="1:11" x14ac:dyDescent="0.3">
      <c r="A362" s="4" t="s">
        <v>770</v>
      </c>
      <c r="B362" s="138" t="s">
        <v>363</v>
      </c>
      <c r="C362" s="2" t="s">
        <v>198</v>
      </c>
      <c r="D362" s="2" t="s">
        <v>194</v>
      </c>
      <c r="E362" s="2" t="s">
        <v>434</v>
      </c>
      <c r="F362" s="139">
        <v>3</v>
      </c>
      <c r="G362" s="140">
        <v>2</v>
      </c>
      <c r="H362" s="140">
        <v>0</v>
      </c>
      <c r="I362" s="140">
        <v>0</v>
      </c>
      <c r="J362" s="140">
        <f t="shared" si="5"/>
        <v>5</v>
      </c>
      <c r="K362" s="3"/>
    </row>
    <row r="363" spans="1:11" x14ac:dyDescent="0.3">
      <c r="A363" s="4" t="s">
        <v>771</v>
      </c>
      <c r="B363" s="138" t="s">
        <v>360</v>
      </c>
      <c r="C363" s="2" t="s">
        <v>202</v>
      </c>
      <c r="D363" s="2" t="s">
        <v>197</v>
      </c>
      <c r="E363" s="2" t="s">
        <v>580</v>
      </c>
      <c r="F363" s="139">
        <v>0</v>
      </c>
      <c r="G363" s="140">
        <v>0</v>
      </c>
      <c r="H363" s="140">
        <v>0</v>
      </c>
      <c r="I363" s="140">
        <v>0</v>
      </c>
      <c r="J363" s="140">
        <f t="shared" si="5"/>
        <v>0</v>
      </c>
      <c r="K363" s="3"/>
    </row>
    <row r="364" spans="1:11" x14ac:dyDescent="0.3">
      <c r="A364" s="4" t="s">
        <v>772</v>
      </c>
      <c r="B364" s="138" t="s">
        <v>363</v>
      </c>
      <c r="C364" s="2" t="s">
        <v>206</v>
      </c>
      <c r="D364" s="2" t="s">
        <v>197</v>
      </c>
      <c r="E364" s="2" t="s">
        <v>637</v>
      </c>
      <c r="F364" s="139">
        <v>2</v>
      </c>
      <c r="G364" s="140">
        <v>0</v>
      </c>
      <c r="H364" s="140">
        <v>0</v>
      </c>
      <c r="I364" s="140">
        <v>0</v>
      </c>
      <c r="J364" s="140">
        <f t="shared" si="5"/>
        <v>2</v>
      </c>
      <c r="K364" s="3"/>
    </row>
    <row r="365" spans="1:11" x14ac:dyDescent="0.3">
      <c r="A365" s="4" t="s">
        <v>773</v>
      </c>
      <c r="B365" s="138" t="s">
        <v>360</v>
      </c>
      <c r="C365" s="2" t="s">
        <v>202</v>
      </c>
      <c r="D365" s="2" t="s">
        <v>199</v>
      </c>
      <c r="E365" s="2" t="s">
        <v>459</v>
      </c>
      <c r="F365" s="139">
        <v>14</v>
      </c>
      <c r="G365" s="140">
        <v>0</v>
      </c>
      <c r="H365" s="140">
        <v>0</v>
      </c>
      <c r="I365" s="140">
        <v>0</v>
      </c>
      <c r="J365" s="140">
        <f t="shared" si="5"/>
        <v>14</v>
      </c>
      <c r="K365" s="3"/>
    </row>
    <row r="366" spans="1:11" x14ac:dyDescent="0.3">
      <c r="A366" s="4" t="s">
        <v>774</v>
      </c>
      <c r="B366" s="138" t="s">
        <v>360</v>
      </c>
      <c r="C366" s="2" t="s">
        <v>202</v>
      </c>
      <c r="D366" s="127" t="s">
        <v>203</v>
      </c>
      <c r="E366" s="2" t="s">
        <v>399</v>
      </c>
      <c r="F366" s="139">
        <v>14</v>
      </c>
      <c r="G366" s="140">
        <v>0</v>
      </c>
      <c r="H366" s="140">
        <v>0</v>
      </c>
      <c r="I366" s="140">
        <v>0</v>
      </c>
      <c r="J366" s="140">
        <f t="shared" si="5"/>
        <v>14</v>
      </c>
      <c r="K366" s="3"/>
    </row>
    <row r="367" spans="1:11" x14ac:dyDescent="0.3">
      <c r="A367" s="4" t="s">
        <v>775</v>
      </c>
      <c r="B367" s="138" t="s">
        <v>360</v>
      </c>
      <c r="C367" s="2" t="s">
        <v>202</v>
      </c>
      <c r="D367" s="2" t="s">
        <v>200</v>
      </c>
      <c r="E367" s="2" t="s">
        <v>417</v>
      </c>
      <c r="F367" s="139">
        <v>9</v>
      </c>
      <c r="G367" s="140">
        <v>0</v>
      </c>
      <c r="H367" s="140">
        <v>0</v>
      </c>
      <c r="I367" s="140">
        <v>0</v>
      </c>
      <c r="J367" s="140">
        <f t="shared" si="5"/>
        <v>9</v>
      </c>
      <c r="K367" s="3"/>
    </row>
    <row r="368" spans="1:11" x14ac:dyDescent="0.3">
      <c r="A368" s="4" t="s">
        <v>776</v>
      </c>
      <c r="B368" s="138" t="s">
        <v>360</v>
      </c>
      <c r="C368" s="2" t="s">
        <v>202</v>
      </c>
      <c r="D368" s="2" t="s">
        <v>200</v>
      </c>
      <c r="E368" s="2" t="s">
        <v>417</v>
      </c>
      <c r="F368" s="139">
        <v>10</v>
      </c>
      <c r="G368" s="140">
        <v>0</v>
      </c>
      <c r="H368" s="140">
        <v>0</v>
      </c>
      <c r="I368" s="140">
        <v>0</v>
      </c>
      <c r="J368" s="140">
        <f t="shared" si="5"/>
        <v>10</v>
      </c>
      <c r="K368" s="3"/>
    </row>
    <row r="369" spans="1:11" x14ac:dyDescent="0.3">
      <c r="A369" s="4" t="s">
        <v>777</v>
      </c>
      <c r="B369" s="138" t="s">
        <v>360</v>
      </c>
      <c r="C369" s="2" t="s">
        <v>202</v>
      </c>
      <c r="D369" s="2" t="s">
        <v>199</v>
      </c>
      <c r="E369" s="2" t="s">
        <v>454</v>
      </c>
      <c r="F369" s="139">
        <v>3</v>
      </c>
      <c r="G369" s="140">
        <v>0</v>
      </c>
      <c r="H369" s="140">
        <v>0</v>
      </c>
      <c r="I369" s="140">
        <v>0</v>
      </c>
      <c r="J369" s="140">
        <f t="shared" si="5"/>
        <v>3</v>
      </c>
      <c r="K369" s="3"/>
    </row>
    <row r="370" spans="1:11" x14ac:dyDescent="0.3">
      <c r="A370" s="4" t="s">
        <v>778</v>
      </c>
      <c r="B370" s="138" t="s">
        <v>363</v>
      </c>
      <c r="C370" s="2" t="s">
        <v>206</v>
      </c>
      <c r="D370" s="2" t="s">
        <v>189</v>
      </c>
      <c r="E370" s="2" t="s">
        <v>397</v>
      </c>
      <c r="F370" s="139">
        <v>17</v>
      </c>
      <c r="G370" s="140">
        <v>0</v>
      </c>
      <c r="H370" s="140">
        <v>0</v>
      </c>
      <c r="I370" s="140">
        <v>0</v>
      </c>
      <c r="J370" s="140">
        <f t="shared" si="5"/>
        <v>17</v>
      </c>
      <c r="K370" s="3"/>
    </row>
    <row r="371" spans="1:11" x14ac:dyDescent="0.3">
      <c r="A371" s="4" t="s">
        <v>779</v>
      </c>
      <c r="B371" s="138" t="s">
        <v>360</v>
      </c>
      <c r="C371" s="2" t="s">
        <v>202</v>
      </c>
      <c r="D371" s="2" t="s">
        <v>199</v>
      </c>
      <c r="E371" s="2" t="s">
        <v>393</v>
      </c>
      <c r="F371" s="139">
        <v>3</v>
      </c>
      <c r="G371" s="140">
        <v>0</v>
      </c>
      <c r="H371" s="140">
        <v>0</v>
      </c>
      <c r="I371" s="140">
        <v>0</v>
      </c>
      <c r="J371" s="140">
        <f t="shared" si="5"/>
        <v>3</v>
      </c>
      <c r="K371" s="3"/>
    </row>
    <row r="372" spans="1:11" x14ac:dyDescent="0.3">
      <c r="A372" s="4" t="s">
        <v>780</v>
      </c>
      <c r="B372" s="138" t="s">
        <v>360</v>
      </c>
      <c r="C372" s="2" t="s">
        <v>202</v>
      </c>
      <c r="D372" s="2" t="s">
        <v>204</v>
      </c>
      <c r="E372" s="2" t="s">
        <v>370</v>
      </c>
      <c r="F372" s="139">
        <v>1</v>
      </c>
      <c r="G372" s="140">
        <v>12</v>
      </c>
      <c r="H372" s="140">
        <v>0</v>
      </c>
      <c r="I372" s="140">
        <v>0</v>
      </c>
      <c r="J372" s="140">
        <f t="shared" si="5"/>
        <v>13</v>
      </c>
      <c r="K372" s="3"/>
    </row>
    <row r="373" spans="1:11" x14ac:dyDescent="0.3">
      <c r="A373" s="4" t="s">
        <v>781</v>
      </c>
      <c r="B373" s="138" t="s">
        <v>360</v>
      </c>
      <c r="C373" s="2" t="s">
        <v>202</v>
      </c>
      <c r="D373" s="2" t="s">
        <v>199</v>
      </c>
      <c r="E373" s="2" t="s">
        <v>378</v>
      </c>
      <c r="F373" s="139">
        <v>7</v>
      </c>
      <c r="G373" s="140">
        <v>0</v>
      </c>
      <c r="H373" s="140">
        <v>0</v>
      </c>
      <c r="I373" s="140">
        <v>0</v>
      </c>
      <c r="J373" s="140">
        <f t="shared" si="5"/>
        <v>7</v>
      </c>
      <c r="K373" s="3"/>
    </row>
    <row r="374" spans="1:11" x14ac:dyDescent="0.3">
      <c r="A374" s="4" t="s">
        <v>782</v>
      </c>
      <c r="B374" s="138" t="s">
        <v>363</v>
      </c>
      <c r="C374" s="2" t="s">
        <v>198</v>
      </c>
      <c r="D374" s="2" t="s">
        <v>199</v>
      </c>
      <c r="E374" s="2" t="s">
        <v>380</v>
      </c>
      <c r="F374" s="139">
        <v>0</v>
      </c>
      <c r="G374" s="140">
        <v>0</v>
      </c>
      <c r="H374" s="140">
        <v>0</v>
      </c>
      <c r="I374" s="140">
        <v>0</v>
      </c>
      <c r="J374" s="140">
        <f t="shared" si="5"/>
        <v>0</v>
      </c>
      <c r="K374" s="3"/>
    </row>
    <row r="375" spans="1:11" x14ac:dyDescent="0.3">
      <c r="A375" s="4" t="s">
        <v>783</v>
      </c>
      <c r="B375" s="138" t="s">
        <v>363</v>
      </c>
      <c r="C375" s="2" t="s">
        <v>198</v>
      </c>
      <c r="D375" s="2" t="s">
        <v>200</v>
      </c>
      <c r="E375" s="2" t="s">
        <v>372</v>
      </c>
      <c r="F375" s="139">
        <v>7</v>
      </c>
      <c r="G375" s="140">
        <v>0</v>
      </c>
      <c r="H375" s="140">
        <v>0</v>
      </c>
      <c r="I375" s="140">
        <v>0</v>
      </c>
      <c r="J375" s="140">
        <f t="shared" si="5"/>
        <v>7</v>
      </c>
      <c r="K375" s="3"/>
    </row>
    <row r="376" spans="1:11" x14ac:dyDescent="0.3">
      <c r="A376" s="4" t="s">
        <v>784</v>
      </c>
      <c r="B376" s="138" t="s">
        <v>360</v>
      </c>
      <c r="C376" s="2" t="s">
        <v>202</v>
      </c>
      <c r="D376" s="2" t="s">
        <v>199</v>
      </c>
      <c r="E376" s="2" t="s">
        <v>415</v>
      </c>
      <c r="F376" s="139">
        <v>0</v>
      </c>
      <c r="G376" s="140">
        <v>0</v>
      </c>
      <c r="H376" s="140">
        <v>0</v>
      </c>
      <c r="I376" s="140">
        <v>0</v>
      </c>
      <c r="J376" s="140">
        <f t="shared" si="5"/>
        <v>0</v>
      </c>
      <c r="K376" s="3"/>
    </row>
    <row r="377" spans="1:11" x14ac:dyDescent="0.3">
      <c r="A377" s="4" t="s">
        <v>785</v>
      </c>
      <c r="B377" s="138" t="s">
        <v>360</v>
      </c>
      <c r="C377" s="2" t="s">
        <v>202</v>
      </c>
      <c r="D377" s="2" t="s">
        <v>204</v>
      </c>
      <c r="E377" s="2" t="s">
        <v>366</v>
      </c>
      <c r="F377" s="139">
        <v>1</v>
      </c>
      <c r="G377" s="140">
        <v>0</v>
      </c>
      <c r="H377" s="140">
        <v>0</v>
      </c>
      <c r="I377" s="140">
        <v>0</v>
      </c>
      <c r="J377" s="140">
        <f t="shared" si="5"/>
        <v>1</v>
      </c>
      <c r="K377" s="3"/>
    </row>
    <row r="378" spans="1:11" x14ac:dyDescent="0.3">
      <c r="A378" s="4" t="s">
        <v>786</v>
      </c>
      <c r="B378" s="138" t="s">
        <v>360</v>
      </c>
      <c r="C378" s="2" t="s">
        <v>188</v>
      </c>
      <c r="D378" s="2" t="s">
        <v>189</v>
      </c>
      <c r="E378" s="2" t="s">
        <v>376</v>
      </c>
      <c r="F378" s="139">
        <v>11</v>
      </c>
      <c r="G378" s="140">
        <v>0</v>
      </c>
      <c r="H378" s="140">
        <v>0</v>
      </c>
      <c r="I378" s="140">
        <v>0</v>
      </c>
      <c r="J378" s="140">
        <f t="shared" si="5"/>
        <v>11</v>
      </c>
      <c r="K378" s="3"/>
    </row>
    <row r="379" spans="1:11" x14ac:dyDescent="0.3">
      <c r="A379" s="4" t="s">
        <v>787</v>
      </c>
      <c r="B379" s="138" t="s">
        <v>478</v>
      </c>
      <c r="C379" s="127" t="s">
        <v>205</v>
      </c>
      <c r="D379" s="2" t="s">
        <v>189</v>
      </c>
      <c r="E379" s="2" t="s">
        <v>498</v>
      </c>
      <c r="F379" s="139">
        <v>1</v>
      </c>
      <c r="G379" s="140">
        <v>0</v>
      </c>
      <c r="H379" s="140">
        <v>0</v>
      </c>
      <c r="I379" s="140">
        <v>0</v>
      </c>
      <c r="J379" s="140">
        <f t="shared" si="5"/>
        <v>1</v>
      </c>
      <c r="K379" s="3"/>
    </row>
    <row r="380" spans="1:11" x14ac:dyDescent="0.3">
      <c r="A380" s="4" t="s">
        <v>788</v>
      </c>
      <c r="B380" s="138" t="s">
        <v>360</v>
      </c>
      <c r="C380" s="2" t="s">
        <v>202</v>
      </c>
      <c r="D380" s="2" t="s">
        <v>199</v>
      </c>
      <c r="E380" s="2" t="s">
        <v>415</v>
      </c>
      <c r="F380" s="139">
        <v>10</v>
      </c>
      <c r="G380" s="140">
        <v>0</v>
      </c>
      <c r="H380" s="140">
        <v>0</v>
      </c>
      <c r="I380" s="140">
        <v>0</v>
      </c>
      <c r="J380" s="140">
        <f t="shared" si="5"/>
        <v>10</v>
      </c>
      <c r="K380" s="3"/>
    </row>
    <row r="381" spans="1:11" x14ac:dyDescent="0.3">
      <c r="A381" s="4" t="s">
        <v>789</v>
      </c>
      <c r="B381" s="138" t="s">
        <v>360</v>
      </c>
      <c r="C381" s="2" t="s">
        <v>202</v>
      </c>
      <c r="D381" s="2" t="s">
        <v>204</v>
      </c>
      <c r="E381" s="2" t="s">
        <v>538</v>
      </c>
      <c r="F381" s="139">
        <v>0</v>
      </c>
      <c r="G381" s="140">
        <v>0</v>
      </c>
      <c r="H381" s="140">
        <v>0</v>
      </c>
      <c r="I381" s="140">
        <v>0</v>
      </c>
      <c r="J381" s="140">
        <f t="shared" si="5"/>
        <v>0</v>
      </c>
      <c r="K381" s="3"/>
    </row>
    <row r="382" spans="1:11" x14ac:dyDescent="0.3">
      <c r="A382" s="4" t="s">
        <v>790</v>
      </c>
      <c r="B382" s="138" t="s">
        <v>360</v>
      </c>
      <c r="C382" s="2" t="s">
        <v>209</v>
      </c>
      <c r="D382" s="2" t="s">
        <v>207</v>
      </c>
      <c r="E382" s="2" t="s">
        <v>382</v>
      </c>
      <c r="F382" s="139">
        <v>2</v>
      </c>
      <c r="G382" s="140">
        <v>0</v>
      </c>
      <c r="H382" s="140">
        <v>0</v>
      </c>
      <c r="I382" s="140">
        <v>0</v>
      </c>
      <c r="J382" s="140">
        <f t="shared" si="5"/>
        <v>2</v>
      </c>
      <c r="K382" s="3"/>
    </row>
    <row r="383" spans="1:11" x14ac:dyDescent="0.3">
      <c r="A383" s="4" t="s">
        <v>791</v>
      </c>
      <c r="B383" s="138" t="s">
        <v>360</v>
      </c>
      <c r="C383" s="2" t="s">
        <v>202</v>
      </c>
      <c r="D383" s="2" t="s">
        <v>204</v>
      </c>
      <c r="E383" s="2" t="s">
        <v>471</v>
      </c>
      <c r="F383" s="139">
        <v>16</v>
      </c>
      <c r="G383" s="140">
        <v>0</v>
      </c>
      <c r="H383" s="140">
        <v>0</v>
      </c>
      <c r="I383" s="140">
        <v>4</v>
      </c>
      <c r="J383" s="140">
        <f t="shared" si="5"/>
        <v>20</v>
      </c>
      <c r="K383" s="3"/>
    </row>
    <row r="384" spans="1:11" x14ac:dyDescent="0.3">
      <c r="A384" s="4" t="s">
        <v>792</v>
      </c>
      <c r="B384" s="138" t="s">
        <v>360</v>
      </c>
      <c r="C384" s="2" t="s">
        <v>202</v>
      </c>
      <c r="D384" s="2" t="s">
        <v>204</v>
      </c>
      <c r="E384" s="2" t="s">
        <v>391</v>
      </c>
      <c r="F384" s="139">
        <v>1</v>
      </c>
      <c r="G384" s="140">
        <v>14</v>
      </c>
      <c r="H384" s="140">
        <v>0</v>
      </c>
      <c r="I384" s="140">
        <v>0</v>
      </c>
      <c r="J384" s="140">
        <f t="shared" si="5"/>
        <v>15</v>
      </c>
      <c r="K384" s="3"/>
    </row>
    <row r="385" spans="1:11" x14ac:dyDescent="0.3">
      <c r="A385" s="4" t="s">
        <v>793</v>
      </c>
      <c r="B385" s="138" t="s">
        <v>363</v>
      </c>
      <c r="C385" s="2" t="s">
        <v>198</v>
      </c>
      <c r="D385" s="2" t="s">
        <v>194</v>
      </c>
      <c r="E385" s="2" t="s">
        <v>434</v>
      </c>
      <c r="F385" s="139">
        <v>1</v>
      </c>
      <c r="G385" s="140">
        <v>0</v>
      </c>
      <c r="H385" s="140">
        <v>0</v>
      </c>
      <c r="I385" s="140">
        <v>0</v>
      </c>
      <c r="J385" s="140">
        <f t="shared" si="5"/>
        <v>1</v>
      </c>
      <c r="K385" s="3"/>
    </row>
    <row r="386" spans="1:11" x14ac:dyDescent="0.3">
      <c r="A386" s="4" t="s">
        <v>794</v>
      </c>
      <c r="B386" s="138" t="s">
        <v>363</v>
      </c>
      <c r="C386" s="2" t="s">
        <v>206</v>
      </c>
      <c r="D386" s="2" t="s">
        <v>189</v>
      </c>
      <c r="E386" s="2" t="s">
        <v>541</v>
      </c>
      <c r="F386" s="139">
        <v>16</v>
      </c>
      <c r="G386" s="140">
        <v>0</v>
      </c>
      <c r="H386" s="140">
        <v>0</v>
      </c>
      <c r="I386" s="140">
        <v>0</v>
      </c>
      <c r="J386" s="140">
        <f t="shared" si="5"/>
        <v>16</v>
      </c>
      <c r="K386" s="3"/>
    </row>
    <row r="387" spans="1:11" x14ac:dyDescent="0.3">
      <c r="A387" s="4" t="s">
        <v>795</v>
      </c>
      <c r="B387" s="138" t="s">
        <v>360</v>
      </c>
      <c r="C387" s="2" t="s">
        <v>202</v>
      </c>
      <c r="D387" s="2" t="s">
        <v>199</v>
      </c>
      <c r="E387" s="2" t="s">
        <v>473</v>
      </c>
      <c r="F387" s="139">
        <v>3</v>
      </c>
      <c r="G387" s="140">
        <v>0</v>
      </c>
      <c r="H387" s="140">
        <v>0</v>
      </c>
      <c r="I387" s="140">
        <v>0</v>
      </c>
      <c r="J387" s="140">
        <f t="shared" si="5"/>
        <v>3</v>
      </c>
      <c r="K387" s="3"/>
    </row>
    <row r="388" spans="1:11" x14ac:dyDescent="0.3">
      <c r="A388" s="4" t="s">
        <v>796</v>
      </c>
      <c r="B388" s="138" t="s">
        <v>360</v>
      </c>
      <c r="C388" s="2" t="s">
        <v>202</v>
      </c>
      <c r="D388" s="2" t="s">
        <v>199</v>
      </c>
      <c r="E388" s="2" t="s">
        <v>393</v>
      </c>
      <c r="F388" s="139">
        <v>2</v>
      </c>
      <c r="G388" s="140">
        <v>0</v>
      </c>
      <c r="H388" s="140">
        <v>0</v>
      </c>
      <c r="I388" s="140">
        <v>0</v>
      </c>
      <c r="J388" s="140">
        <f t="shared" si="5"/>
        <v>2</v>
      </c>
      <c r="K388" s="3"/>
    </row>
    <row r="389" spans="1:11" x14ac:dyDescent="0.3">
      <c r="A389" s="4" t="s">
        <v>797</v>
      </c>
      <c r="B389" s="138" t="s">
        <v>360</v>
      </c>
      <c r="C389" s="2" t="s">
        <v>202</v>
      </c>
      <c r="D389" s="2" t="s">
        <v>199</v>
      </c>
      <c r="E389" s="2" t="s">
        <v>459</v>
      </c>
      <c r="F389" s="139">
        <v>3</v>
      </c>
      <c r="G389" s="140">
        <v>0</v>
      </c>
      <c r="H389" s="140">
        <v>0</v>
      </c>
      <c r="I389" s="140">
        <v>0</v>
      </c>
      <c r="J389" s="140">
        <f t="shared" ref="J389:J452" si="6">SUM(F389:I389)</f>
        <v>3</v>
      </c>
      <c r="K389" s="3"/>
    </row>
    <row r="390" spans="1:11" x14ac:dyDescent="0.3">
      <c r="A390" s="4" t="s">
        <v>798</v>
      </c>
      <c r="B390" s="138" t="s">
        <v>360</v>
      </c>
      <c r="C390" s="2" t="s">
        <v>202</v>
      </c>
      <c r="D390" s="2" t="s">
        <v>200</v>
      </c>
      <c r="E390" s="2" t="s">
        <v>417</v>
      </c>
      <c r="F390" s="139">
        <v>8</v>
      </c>
      <c r="G390" s="140">
        <v>0</v>
      </c>
      <c r="H390" s="140">
        <v>0</v>
      </c>
      <c r="I390" s="140">
        <v>0</v>
      </c>
      <c r="J390" s="140">
        <f t="shared" si="6"/>
        <v>8</v>
      </c>
      <c r="K390" s="3"/>
    </row>
    <row r="391" spans="1:11" x14ac:dyDescent="0.3">
      <c r="A391" s="4" t="s">
        <v>799</v>
      </c>
      <c r="B391" s="138" t="s">
        <v>360</v>
      </c>
      <c r="C391" s="2" t="s">
        <v>209</v>
      </c>
      <c r="D391" s="2" t="s">
        <v>197</v>
      </c>
      <c r="E391" s="2" t="s">
        <v>425</v>
      </c>
      <c r="F391" s="139">
        <v>0</v>
      </c>
      <c r="G391" s="140">
        <v>0</v>
      </c>
      <c r="H391" s="140">
        <v>0</v>
      </c>
      <c r="I391" s="140">
        <v>0</v>
      </c>
      <c r="J391" s="140">
        <f t="shared" si="6"/>
        <v>0</v>
      </c>
      <c r="K391" s="3"/>
    </row>
    <row r="392" spans="1:11" x14ac:dyDescent="0.3">
      <c r="A392" s="4" t="s">
        <v>800</v>
      </c>
      <c r="B392" s="138" t="s">
        <v>363</v>
      </c>
      <c r="C392" s="2" t="s">
        <v>208</v>
      </c>
      <c r="D392" s="2" t="s">
        <v>194</v>
      </c>
      <c r="E392" s="2" t="s">
        <v>434</v>
      </c>
      <c r="F392" s="139">
        <v>15</v>
      </c>
      <c r="G392" s="140">
        <v>0</v>
      </c>
      <c r="H392" s="140">
        <v>0</v>
      </c>
      <c r="I392" s="140">
        <v>0</v>
      </c>
      <c r="J392" s="140">
        <f t="shared" si="6"/>
        <v>15</v>
      </c>
      <c r="K392" s="3"/>
    </row>
    <row r="393" spans="1:11" x14ac:dyDescent="0.3">
      <c r="A393" s="4" t="s">
        <v>801</v>
      </c>
      <c r="B393" s="138" t="s">
        <v>363</v>
      </c>
      <c r="C393" s="2" t="s">
        <v>198</v>
      </c>
      <c r="D393" s="2" t="s">
        <v>199</v>
      </c>
      <c r="E393" s="2" t="s">
        <v>402</v>
      </c>
      <c r="F393" s="139">
        <v>16</v>
      </c>
      <c r="G393" s="140">
        <v>0</v>
      </c>
      <c r="H393" s="140">
        <v>0</v>
      </c>
      <c r="I393" s="140">
        <v>0</v>
      </c>
      <c r="J393" s="140">
        <f t="shared" si="6"/>
        <v>16</v>
      </c>
      <c r="K393" s="3"/>
    </row>
    <row r="394" spans="1:11" x14ac:dyDescent="0.3">
      <c r="A394" s="4" t="s">
        <v>802</v>
      </c>
      <c r="B394" s="138" t="s">
        <v>360</v>
      </c>
      <c r="C394" s="2" t="s">
        <v>209</v>
      </c>
      <c r="D394" s="2" t="s">
        <v>207</v>
      </c>
      <c r="E394" s="2" t="s">
        <v>382</v>
      </c>
      <c r="F394" s="139">
        <v>8</v>
      </c>
      <c r="G394" s="140">
        <v>12</v>
      </c>
      <c r="H394" s="140">
        <v>1</v>
      </c>
      <c r="I394" s="140">
        <v>0</v>
      </c>
      <c r="J394" s="140">
        <f t="shared" si="6"/>
        <v>21</v>
      </c>
      <c r="K394" s="3"/>
    </row>
    <row r="395" spans="1:11" x14ac:dyDescent="0.3">
      <c r="A395" s="4" t="s">
        <v>803</v>
      </c>
      <c r="B395" s="138" t="s">
        <v>363</v>
      </c>
      <c r="C395" s="2" t="s">
        <v>198</v>
      </c>
      <c r="D395" s="2" t="s">
        <v>199</v>
      </c>
      <c r="E395" s="2" t="s">
        <v>402</v>
      </c>
      <c r="F395" s="139">
        <v>2</v>
      </c>
      <c r="G395" s="140">
        <v>0</v>
      </c>
      <c r="H395" s="140">
        <v>0</v>
      </c>
      <c r="I395" s="140">
        <v>0</v>
      </c>
      <c r="J395" s="140">
        <f t="shared" si="6"/>
        <v>2</v>
      </c>
      <c r="K395" s="3"/>
    </row>
    <row r="396" spans="1:11" x14ac:dyDescent="0.3">
      <c r="A396" s="4" t="s">
        <v>804</v>
      </c>
      <c r="B396" s="138" t="s">
        <v>360</v>
      </c>
      <c r="C396" s="2" t="s">
        <v>202</v>
      </c>
      <c r="D396" s="2" t="s">
        <v>204</v>
      </c>
      <c r="E396" s="2" t="s">
        <v>538</v>
      </c>
      <c r="F396" s="139">
        <v>1</v>
      </c>
      <c r="G396" s="140">
        <v>0</v>
      </c>
      <c r="H396" s="140">
        <v>0</v>
      </c>
      <c r="I396" s="140">
        <v>0</v>
      </c>
      <c r="J396" s="140">
        <f t="shared" si="6"/>
        <v>1</v>
      </c>
      <c r="K396" s="3"/>
    </row>
    <row r="397" spans="1:11" x14ac:dyDescent="0.3">
      <c r="A397" s="4" t="s">
        <v>805</v>
      </c>
      <c r="B397" s="138" t="s">
        <v>360</v>
      </c>
      <c r="C397" s="2" t="s">
        <v>202</v>
      </c>
      <c r="D397" s="2" t="s">
        <v>200</v>
      </c>
      <c r="E397" s="2" t="s">
        <v>417</v>
      </c>
      <c r="F397" s="139">
        <v>11</v>
      </c>
      <c r="G397" s="140">
        <v>0</v>
      </c>
      <c r="H397" s="140">
        <v>0</v>
      </c>
      <c r="I397" s="140">
        <v>2</v>
      </c>
      <c r="J397" s="140">
        <f t="shared" si="6"/>
        <v>13</v>
      </c>
      <c r="K397" s="3"/>
    </row>
    <row r="398" spans="1:11" x14ac:dyDescent="0.3">
      <c r="A398" s="4" t="s">
        <v>806</v>
      </c>
      <c r="B398" s="138" t="s">
        <v>363</v>
      </c>
      <c r="C398" s="2" t="s">
        <v>198</v>
      </c>
      <c r="D398" s="2" t="s">
        <v>199</v>
      </c>
      <c r="E398" s="2" t="s">
        <v>364</v>
      </c>
      <c r="F398" s="139">
        <v>0</v>
      </c>
      <c r="G398" s="140">
        <v>0</v>
      </c>
      <c r="H398" s="140">
        <v>0</v>
      </c>
      <c r="I398" s="140">
        <v>0</v>
      </c>
      <c r="J398" s="140">
        <f t="shared" si="6"/>
        <v>0</v>
      </c>
      <c r="K398" s="3"/>
    </row>
    <row r="399" spans="1:11" x14ac:dyDescent="0.3">
      <c r="A399" s="4" t="s">
        <v>807</v>
      </c>
      <c r="B399" s="138" t="s">
        <v>363</v>
      </c>
      <c r="C399" s="2" t="s">
        <v>198</v>
      </c>
      <c r="D399" s="2" t="s">
        <v>194</v>
      </c>
      <c r="E399" s="2" t="s">
        <v>434</v>
      </c>
      <c r="F399" s="139">
        <v>3</v>
      </c>
      <c r="G399" s="140">
        <v>0</v>
      </c>
      <c r="H399" s="140">
        <v>0</v>
      </c>
      <c r="I399" s="140">
        <v>0</v>
      </c>
      <c r="J399" s="140">
        <f t="shared" si="6"/>
        <v>3</v>
      </c>
      <c r="K399" s="3"/>
    </row>
    <row r="400" spans="1:11" x14ac:dyDescent="0.3">
      <c r="A400" s="4" t="s">
        <v>808</v>
      </c>
      <c r="B400" s="138" t="s">
        <v>360</v>
      </c>
      <c r="C400" s="2" t="s">
        <v>202</v>
      </c>
      <c r="D400" s="2" t="s">
        <v>200</v>
      </c>
      <c r="E400" s="2" t="s">
        <v>707</v>
      </c>
      <c r="F400" s="139">
        <v>14</v>
      </c>
      <c r="G400" s="140">
        <v>0</v>
      </c>
      <c r="H400" s="140">
        <v>0</v>
      </c>
      <c r="I400" s="140">
        <v>0</v>
      </c>
      <c r="J400" s="140">
        <f t="shared" si="6"/>
        <v>14</v>
      </c>
      <c r="K400" s="3"/>
    </row>
    <row r="401" spans="1:11" x14ac:dyDescent="0.3">
      <c r="A401" s="4" t="s">
        <v>809</v>
      </c>
      <c r="B401" s="138" t="s">
        <v>363</v>
      </c>
      <c r="C401" s="2" t="s">
        <v>198</v>
      </c>
      <c r="D401" s="2" t="s">
        <v>200</v>
      </c>
      <c r="E401" s="2" t="s">
        <v>450</v>
      </c>
      <c r="F401" s="139">
        <v>1</v>
      </c>
      <c r="G401" s="140">
        <v>0</v>
      </c>
      <c r="H401" s="140">
        <v>0</v>
      </c>
      <c r="I401" s="140">
        <v>0</v>
      </c>
      <c r="J401" s="140">
        <f t="shared" si="6"/>
        <v>1</v>
      </c>
      <c r="K401" s="3"/>
    </row>
    <row r="402" spans="1:11" x14ac:dyDescent="0.3">
      <c r="A402" s="4" t="s">
        <v>810</v>
      </c>
      <c r="B402" s="138" t="s">
        <v>360</v>
      </c>
      <c r="C402" s="2" t="s">
        <v>202</v>
      </c>
      <c r="D402" s="2" t="s">
        <v>204</v>
      </c>
      <c r="E402" s="2" t="s">
        <v>538</v>
      </c>
      <c r="F402" s="139">
        <v>6</v>
      </c>
      <c r="G402" s="140">
        <v>0</v>
      </c>
      <c r="H402" s="140">
        <v>0</v>
      </c>
      <c r="I402" s="140">
        <v>0</v>
      </c>
      <c r="J402" s="140">
        <f t="shared" si="6"/>
        <v>6</v>
      </c>
      <c r="K402" s="3"/>
    </row>
    <row r="403" spans="1:11" x14ac:dyDescent="0.3">
      <c r="A403" s="4" t="s">
        <v>811</v>
      </c>
      <c r="B403" s="138" t="s">
        <v>360</v>
      </c>
      <c r="C403" s="2" t="s">
        <v>202</v>
      </c>
      <c r="D403" s="2" t="s">
        <v>199</v>
      </c>
      <c r="E403" s="2" t="s">
        <v>428</v>
      </c>
      <c r="F403" s="139">
        <v>6</v>
      </c>
      <c r="G403" s="140">
        <v>0</v>
      </c>
      <c r="H403" s="140">
        <v>0</v>
      </c>
      <c r="I403" s="140">
        <v>0</v>
      </c>
      <c r="J403" s="140">
        <f t="shared" si="6"/>
        <v>6</v>
      </c>
      <c r="K403" s="3"/>
    </row>
    <row r="404" spans="1:11" x14ac:dyDescent="0.3">
      <c r="A404" s="4" t="s">
        <v>812</v>
      </c>
      <c r="B404" s="138" t="s">
        <v>360</v>
      </c>
      <c r="C404" s="2" t="s">
        <v>202</v>
      </c>
      <c r="D404" s="2" t="s">
        <v>199</v>
      </c>
      <c r="E404" s="2" t="s">
        <v>393</v>
      </c>
      <c r="F404" s="139">
        <v>1</v>
      </c>
      <c r="G404" s="140">
        <v>0</v>
      </c>
      <c r="H404" s="140">
        <v>0</v>
      </c>
      <c r="I404" s="140">
        <v>0</v>
      </c>
      <c r="J404" s="140">
        <f t="shared" si="6"/>
        <v>1</v>
      </c>
      <c r="K404" s="3"/>
    </row>
    <row r="405" spans="1:11" x14ac:dyDescent="0.3">
      <c r="A405" s="4" t="s">
        <v>813</v>
      </c>
      <c r="B405" s="138" t="s">
        <v>360</v>
      </c>
      <c r="C405" s="2" t="s">
        <v>202</v>
      </c>
      <c r="D405" s="2" t="s">
        <v>200</v>
      </c>
      <c r="E405" s="2" t="s">
        <v>417</v>
      </c>
      <c r="F405" s="139">
        <v>11</v>
      </c>
      <c r="G405" s="140">
        <v>0</v>
      </c>
      <c r="H405" s="140">
        <v>0</v>
      </c>
      <c r="I405" s="140">
        <v>0</v>
      </c>
      <c r="J405" s="140">
        <f t="shared" si="6"/>
        <v>11</v>
      </c>
      <c r="K405" s="3"/>
    </row>
    <row r="406" spans="1:11" x14ac:dyDescent="0.3">
      <c r="A406" s="4" t="s">
        <v>814</v>
      </c>
      <c r="B406" s="138" t="s">
        <v>360</v>
      </c>
      <c r="C406" s="2" t="s">
        <v>202</v>
      </c>
      <c r="D406" s="2" t="s">
        <v>199</v>
      </c>
      <c r="E406" s="2" t="s">
        <v>459</v>
      </c>
      <c r="F406" s="139">
        <v>16</v>
      </c>
      <c r="G406" s="140">
        <v>0</v>
      </c>
      <c r="H406" s="140">
        <v>0</v>
      </c>
      <c r="I406" s="140">
        <v>2</v>
      </c>
      <c r="J406" s="140">
        <f t="shared" si="6"/>
        <v>18</v>
      </c>
      <c r="K406" s="3"/>
    </row>
    <row r="407" spans="1:11" x14ac:dyDescent="0.3">
      <c r="A407" s="4" t="s">
        <v>815</v>
      </c>
      <c r="B407" s="138" t="s">
        <v>360</v>
      </c>
      <c r="C407" s="2" t="s">
        <v>202</v>
      </c>
      <c r="D407" s="2" t="s">
        <v>204</v>
      </c>
      <c r="E407" s="2" t="s">
        <v>389</v>
      </c>
      <c r="F407" s="139">
        <v>10</v>
      </c>
      <c r="G407" s="140">
        <v>0</v>
      </c>
      <c r="H407" s="140">
        <v>0</v>
      </c>
      <c r="I407" s="140">
        <v>0</v>
      </c>
      <c r="J407" s="140">
        <f t="shared" si="6"/>
        <v>10</v>
      </c>
      <c r="K407" s="3"/>
    </row>
    <row r="408" spans="1:11" x14ac:dyDescent="0.3">
      <c r="A408" s="4" t="s">
        <v>816</v>
      </c>
      <c r="B408" s="138" t="s">
        <v>360</v>
      </c>
      <c r="C408" s="2" t="s">
        <v>202</v>
      </c>
      <c r="D408" s="2" t="s">
        <v>199</v>
      </c>
      <c r="E408" s="2" t="s">
        <v>459</v>
      </c>
      <c r="F408" s="139">
        <v>3</v>
      </c>
      <c r="G408" s="140">
        <v>0</v>
      </c>
      <c r="H408" s="140">
        <v>0</v>
      </c>
      <c r="I408" s="140">
        <v>0</v>
      </c>
      <c r="J408" s="140">
        <f t="shared" si="6"/>
        <v>3</v>
      </c>
      <c r="K408" s="3"/>
    </row>
    <row r="409" spans="1:11" x14ac:dyDescent="0.3">
      <c r="A409" s="4" t="s">
        <v>817</v>
      </c>
      <c r="B409" s="138" t="s">
        <v>360</v>
      </c>
      <c r="C409" s="2" t="s">
        <v>188</v>
      </c>
      <c r="D409" s="2" t="s">
        <v>195</v>
      </c>
      <c r="E409" s="2" t="s">
        <v>447</v>
      </c>
      <c r="F409" s="139">
        <v>1</v>
      </c>
      <c r="G409" s="140">
        <v>0</v>
      </c>
      <c r="H409" s="140">
        <v>0</v>
      </c>
      <c r="I409" s="140">
        <v>0</v>
      </c>
      <c r="J409" s="140">
        <f t="shared" si="6"/>
        <v>1</v>
      </c>
      <c r="K409" s="3"/>
    </row>
    <row r="410" spans="1:11" x14ac:dyDescent="0.3">
      <c r="A410" s="4" t="s">
        <v>818</v>
      </c>
      <c r="B410" s="138" t="s">
        <v>360</v>
      </c>
      <c r="C410" s="2" t="s">
        <v>202</v>
      </c>
      <c r="D410" s="2" t="s">
        <v>197</v>
      </c>
      <c r="E410" s="2" t="s">
        <v>580</v>
      </c>
      <c r="F410" s="139">
        <v>1</v>
      </c>
      <c r="G410" s="140">
        <v>6</v>
      </c>
      <c r="H410" s="140">
        <v>0</v>
      </c>
      <c r="I410" s="140">
        <v>0</v>
      </c>
      <c r="J410" s="140">
        <f t="shared" si="6"/>
        <v>7</v>
      </c>
      <c r="K410" s="3"/>
    </row>
    <row r="411" spans="1:11" x14ac:dyDescent="0.3">
      <c r="A411" s="4" t="s">
        <v>819</v>
      </c>
      <c r="B411" s="138" t="s">
        <v>360</v>
      </c>
      <c r="C411" s="2" t="s">
        <v>202</v>
      </c>
      <c r="D411" s="2" t="s">
        <v>204</v>
      </c>
      <c r="E411" s="2" t="s">
        <v>366</v>
      </c>
      <c r="F411" s="139">
        <v>2</v>
      </c>
      <c r="G411" s="140">
        <v>0</v>
      </c>
      <c r="H411" s="140">
        <v>0</v>
      </c>
      <c r="I411" s="140">
        <v>0</v>
      </c>
      <c r="J411" s="140">
        <f t="shared" si="6"/>
        <v>2</v>
      </c>
      <c r="K411" s="3"/>
    </row>
    <row r="412" spans="1:11" x14ac:dyDescent="0.3">
      <c r="A412" s="4" t="s">
        <v>820</v>
      </c>
      <c r="B412" s="138" t="s">
        <v>360</v>
      </c>
      <c r="C412" s="2" t="s">
        <v>202</v>
      </c>
      <c r="D412" s="2" t="s">
        <v>204</v>
      </c>
      <c r="E412" s="2" t="s">
        <v>471</v>
      </c>
      <c r="F412" s="139">
        <v>17</v>
      </c>
      <c r="G412" s="140">
        <v>0</v>
      </c>
      <c r="H412" s="140">
        <v>0</v>
      </c>
      <c r="I412" s="140">
        <v>1</v>
      </c>
      <c r="J412" s="140">
        <f t="shared" si="6"/>
        <v>18</v>
      </c>
      <c r="K412" s="3"/>
    </row>
    <row r="413" spans="1:11" x14ac:dyDescent="0.3">
      <c r="A413" s="4" t="s">
        <v>821</v>
      </c>
      <c r="B413" s="138" t="s">
        <v>363</v>
      </c>
      <c r="C413" s="2" t="s">
        <v>198</v>
      </c>
      <c r="D413" s="2" t="s">
        <v>200</v>
      </c>
      <c r="E413" s="2" t="s">
        <v>450</v>
      </c>
      <c r="F413" s="139">
        <v>1</v>
      </c>
      <c r="G413" s="140">
        <v>0</v>
      </c>
      <c r="H413" s="140">
        <v>0</v>
      </c>
      <c r="I413" s="140">
        <v>0</v>
      </c>
      <c r="J413" s="140">
        <f t="shared" si="6"/>
        <v>1</v>
      </c>
      <c r="K413" s="3"/>
    </row>
    <row r="414" spans="1:11" x14ac:dyDescent="0.3">
      <c r="A414" s="4" t="s">
        <v>822</v>
      </c>
      <c r="B414" s="138" t="s">
        <v>363</v>
      </c>
      <c r="C414" s="2" t="s">
        <v>206</v>
      </c>
      <c r="D414" s="2" t="s">
        <v>189</v>
      </c>
      <c r="E414" s="2" t="s">
        <v>397</v>
      </c>
      <c r="F414" s="139">
        <v>2</v>
      </c>
      <c r="G414" s="140">
        <v>0</v>
      </c>
      <c r="H414" s="140">
        <v>0</v>
      </c>
      <c r="I414" s="140">
        <v>0</v>
      </c>
      <c r="J414" s="140">
        <f t="shared" si="6"/>
        <v>2</v>
      </c>
      <c r="K414" s="3"/>
    </row>
    <row r="415" spans="1:11" x14ac:dyDescent="0.3">
      <c r="A415" s="4" t="s">
        <v>823</v>
      </c>
      <c r="B415" s="138" t="s">
        <v>360</v>
      </c>
      <c r="C415" s="2" t="s">
        <v>202</v>
      </c>
      <c r="D415" s="2" t="s">
        <v>204</v>
      </c>
      <c r="E415" s="2" t="s">
        <v>538</v>
      </c>
      <c r="F415" s="139">
        <v>1</v>
      </c>
      <c r="G415" s="140">
        <v>0</v>
      </c>
      <c r="H415" s="140">
        <v>0</v>
      </c>
      <c r="I415" s="140">
        <v>0</v>
      </c>
      <c r="J415" s="140">
        <f t="shared" si="6"/>
        <v>1</v>
      </c>
      <c r="K415" s="3"/>
    </row>
    <row r="416" spans="1:11" x14ac:dyDescent="0.3">
      <c r="A416" s="4" t="s">
        <v>824</v>
      </c>
      <c r="B416" s="138" t="s">
        <v>363</v>
      </c>
      <c r="C416" s="2" t="s">
        <v>198</v>
      </c>
      <c r="D416" s="2" t="s">
        <v>200</v>
      </c>
      <c r="E416" s="2" t="s">
        <v>372</v>
      </c>
      <c r="F416" s="139">
        <v>5</v>
      </c>
      <c r="G416" s="140">
        <v>8</v>
      </c>
      <c r="H416" s="140">
        <v>0</v>
      </c>
      <c r="I416" s="140">
        <v>0</v>
      </c>
      <c r="J416" s="140">
        <f t="shared" si="6"/>
        <v>13</v>
      </c>
      <c r="K416" s="3"/>
    </row>
    <row r="417" spans="1:11" x14ac:dyDescent="0.3">
      <c r="A417" s="4" t="s">
        <v>825</v>
      </c>
      <c r="B417" s="138" t="s">
        <v>360</v>
      </c>
      <c r="C417" s="2" t="s">
        <v>188</v>
      </c>
      <c r="D417" s="2" t="s">
        <v>189</v>
      </c>
      <c r="E417" s="2" t="s">
        <v>387</v>
      </c>
      <c r="F417" s="139">
        <v>4</v>
      </c>
      <c r="G417" s="140">
        <v>0</v>
      </c>
      <c r="H417" s="140">
        <v>0</v>
      </c>
      <c r="I417" s="140">
        <v>0</v>
      </c>
      <c r="J417" s="140">
        <f t="shared" si="6"/>
        <v>4</v>
      </c>
      <c r="K417" s="3"/>
    </row>
    <row r="418" spans="1:11" x14ac:dyDescent="0.3">
      <c r="A418" s="4" t="s">
        <v>826</v>
      </c>
      <c r="B418" s="138" t="s">
        <v>363</v>
      </c>
      <c r="C418" s="2" t="s">
        <v>198</v>
      </c>
      <c r="D418" s="2" t="s">
        <v>199</v>
      </c>
      <c r="E418" s="2" t="s">
        <v>432</v>
      </c>
      <c r="F418" s="139">
        <v>5</v>
      </c>
      <c r="G418" s="140">
        <v>0</v>
      </c>
      <c r="H418" s="140">
        <v>0</v>
      </c>
      <c r="I418" s="140">
        <v>0</v>
      </c>
      <c r="J418" s="140">
        <f t="shared" si="6"/>
        <v>5</v>
      </c>
      <c r="K418" s="3"/>
    </row>
    <row r="419" spans="1:11" x14ac:dyDescent="0.3">
      <c r="A419" s="4" t="s">
        <v>827</v>
      </c>
      <c r="B419" s="138" t="s">
        <v>360</v>
      </c>
      <c r="C419" s="2" t="s">
        <v>202</v>
      </c>
      <c r="D419" s="2" t="s">
        <v>199</v>
      </c>
      <c r="E419" s="2" t="s">
        <v>393</v>
      </c>
      <c r="F419" s="139">
        <v>10</v>
      </c>
      <c r="G419" s="140">
        <v>0</v>
      </c>
      <c r="H419" s="140">
        <v>0</v>
      </c>
      <c r="I419" s="140">
        <v>0</v>
      </c>
      <c r="J419" s="140">
        <f t="shared" si="6"/>
        <v>10</v>
      </c>
      <c r="K419" s="3"/>
    </row>
    <row r="420" spans="1:11" x14ac:dyDescent="0.3">
      <c r="A420" s="4" t="s">
        <v>828</v>
      </c>
      <c r="B420" s="138" t="s">
        <v>360</v>
      </c>
      <c r="C420" s="2" t="s">
        <v>202</v>
      </c>
      <c r="D420" s="2" t="s">
        <v>200</v>
      </c>
      <c r="E420" s="2" t="s">
        <v>707</v>
      </c>
      <c r="F420" s="139">
        <v>15</v>
      </c>
      <c r="G420" s="140">
        <v>0</v>
      </c>
      <c r="H420" s="140">
        <v>0</v>
      </c>
      <c r="I420" s="140">
        <v>1</v>
      </c>
      <c r="J420" s="140">
        <f t="shared" si="6"/>
        <v>16</v>
      </c>
      <c r="K420" s="3"/>
    </row>
    <row r="421" spans="1:11" x14ac:dyDescent="0.3">
      <c r="A421" s="4" t="s">
        <v>829</v>
      </c>
      <c r="B421" s="138" t="s">
        <v>360</v>
      </c>
      <c r="C421" s="2" t="s">
        <v>202</v>
      </c>
      <c r="D421" s="2" t="s">
        <v>204</v>
      </c>
      <c r="E421" s="2" t="s">
        <v>412</v>
      </c>
      <c r="F421" s="139">
        <v>8</v>
      </c>
      <c r="G421" s="140">
        <v>0</v>
      </c>
      <c r="H421" s="140">
        <v>0</v>
      </c>
      <c r="I421" s="140">
        <v>0</v>
      </c>
      <c r="J421" s="140">
        <f t="shared" si="6"/>
        <v>8</v>
      </c>
      <c r="K421" s="3"/>
    </row>
    <row r="422" spans="1:11" x14ac:dyDescent="0.3">
      <c r="A422" s="4" t="s">
        <v>830</v>
      </c>
      <c r="B422" s="138" t="s">
        <v>363</v>
      </c>
      <c r="C422" s="2" t="s">
        <v>198</v>
      </c>
      <c r="D422" s="2" t="s">
        <v>197</v>
      </c>
      <c r="E422" s="2" t="s">
        <v>409</v>
      </c>
      <c r="F422" s="139">
        <v>12</v>
      </c>
      <c r="G422" s="140">
        <v>0</v>
      </c>
      <c r="H422" s="140">
        <v>0</v>
      </c>
      <c r="I422" s="140">
        <v>0</v>
      </c>
      <c r="J422" s="140">
        <f t="shared" si="6"/>
        <v>12</v>
      </c>
      <c r="K422" s="3"/>
    </row>
    <row r="423" spans="1:11" x14ac:dyDescent="0.3">
      <c r="A423" s="4" t="s">
        <v>831</v>
      </c>
      <c r="B423" s="138" t="s">
        <v>360</v>
      </c>
      <c r="C423" s="2" t="s">
        <v>209</v>
      </c>
      <c r="D423" s="2" t="s">
        <v>207</v>
      </c>
      <c r="E423" s="2" t="s">
        <v>382</v>
      </c>
      <c r="F423" s="139">
        <v>0</v>
      </c>
      <c r="G423" s="140">
        <v>0</v>
      </c>
      <c r="H423" s="140">
        <v>0</v>
      </c>
      <c r="I423" s="140">
        <v>0</v>
      </c>
      <c r="J423" s="140">
        <f t="shared" si="6"/>
        <v>0</v>
      </c>
      <c r="K423" s="3"/>
    </row>
    <row r="424" spans="1:11" x14ac:dyDescent="0.3">
      <c r="A424" s="4" t="s">
        <v>832</v>
      </c>
      <c r="B424" s="138" t="s">
        <v>360</v>
      </c>
      <c r="C424" s="2" t="s">
        <v>188</v>
      </c>
      <c r="D424" s="2" t="s">
        <v>194</v>
      </c>
      <c r="E424" s="2" t="s">
        <v>488</v>
      </c>
      <c r="F424" s="139">
        <v>2</v>
      </c>
      <c r="G424" s="140">
        <v>0</v>
      </c>
      <c r="H424" s="140">
        <v>0</v>
      </c>
      <c r="I424" s="140">
        <v>0</v>
      </c>
      <c r="J424" s="140">
        <f t="shared" si="6"/>
        <v>2</v>
      </c>
      <c r="K424" s="3"/>
    </row>
    <row r="425" spans="1:11" x14ac:dyDescent="0.3">
      <c r="A425" s="4" t="s">
        <v>833</v>
      </c>
      <c r="B425" s="138" t="s">
        <v>363</v>
      </c>
      <c r="C425" s="2" t="s">
        <v>198</v>
      </c>
      <c r="D425" s="2" t="s">
        <v>199</v>
      </c>
      <c r="E425" s="2" t="s">
        <v>432</v>
      </c>
      <c r="F425" s="139">
        <v>13</v>
      </c>
      <c r="G425" s="140">
        <v>0</v>
      </c>
      <c r="H425" s="140">
        <v>0</v>
      </c>
      <c r="I425" s="140">
        <v>0</v>
      </c>
      <c r="J425" s="140">
        <f t="shared" si="6"/>
        <v>13</v>
      </c>
      <c r="K425" s="3"/>
    </row>
    <row r="426" spans="1:11" x14ac:dyDescent="0.3">
      <c r="A426" s="4" t="s">
        <v>834</v>
      </c>
      <c r="B426" s="138" t="s">
        <v>360</v>
      </c>
      <c r="C426" s="2" t="s">
        <v>202</v>
      </c>
      <c r="D426" s="2" t="s">
        <v>199</v>
      </c>
      <c r="E426" s="2" t="s">
        <v>384</v>
      </c>
      <c r="F426" s="139">
        <v>1</v>
      </c>
      <c r="G426" s="140">
        <v>0</v>
      </c>
      <c r="H426" s="140">
        <v>0</v>
      </c>
      <c r="I426" s="140">
        <v>0</v>
      </c>
      <c r="J426" s="140">
        <f t="shared" si="6"/>
        <v>1</v>
      </c>
      <c r="K426" s="3"/>
    </row>
    <row r="427" spans="1:11" x14ac:dyDescent="0.3">
      <c r="A427" s="4" t="s">
        <v>835</v>
      </c>
      <c r="B427" s="138" t="s">
        <v>360</v>
      </c>
      <c r="C427" s="2" t="s">
        <v>202</v>
      </c>
      <c r="D427" s="2" t="s">
        <v>204</v>
      </c>
      <c r="E427" s="2" t="s">
        <v>370</v>
      </c>
      <c r="F427" s="139">
        <v>1</v>
      </c>
      <c r="G427" s="140">
        <v>0</v>
      </c>
      <c r="H427" s="140">
        <v>0</v>
      </c>
      <c r="I427" s="140">
        <v>0</v>
      </c>
      <c r="J427" s="140">
        <f t="shared" si="6"/>
        <v>1</v>
      </c>
      <c r="K427" s="3"/>
    </row>
    <row r="428" spans="1:11" x14ac:dyDescent="0.3">
      <c r="A428" s="4" t="s">
        <v>836</v>
      </c>
      <c r="B428" s="138" t="s">
        <v>360</v>
      </c>
      <c r="C428" s="2" t="s">
        <v>202</v>
      </c>
      <c r="D428" s="2" t="s">
        <v>204</v>
      </c>
      <c r="E428" s="2" t="s">
        <v>462</v>
      </c>
      <c r="F428" s="139">
        <v>4</v>
      </c>
      <c r="G428" s="140">
        <v>21</v>
      </c>
      <c r="H428" s="140">
        <v>0</v>
      </c>
      <c r="I428" s="140">
        <v>0</v>
      </c>
      <c r="J428" s="140">
        <f t="shared" si="6"/>
        <v>25</v>
      </c>
      <c r="K428" s="3"/>
    </row>
    <row r="429" spans="1:11" x14ac:dyDescent="0.3">
      <c r="A429" s="4" t="s">
        <v>837</v>
      </c>
      <c r="B429" s="138" t="s">
        <v>363</v>
      </c>
      <c r="C429" s="2" t="s">
        <v>198</v>
      </c>
      <c r="D429" s="2" t="s">
        <v>199</v>
      </c>
      <c r="E429" s="2" t="s">
        <v>364</v>
      </c>
      <c r="F429" s="139">
        <v>1</v>
      </c>
      <c r="G429" s="140">
        <v>12</v>
      </c>
      <c r="H429" s="140">
        <v>0</v>
      </c>
      <c r="I429" s="140">
        <v>0</v>
      </c>
      <c r="J429" s="140">
        <f t="shared" si="6"/>
        <v>13</v>
      </c>
      <c r="K429" s="3"/>
    </row>
    <row r="430" spans="1:11" x14ac:dyDescent="0.3">
      <c r="A430" s="4" t="s">
        <v>838</v>
      </c>
      <c r="B430" s="138" t="s">
        <v>363</v>
      </c>
      <c r="C430" s="2" t="s">
        <v>198</v>
      </c>
      <c r="D430" s="2" t="s">
        <v>197</v>
      </c>
      <c r="E430" s="2" t="s">
        <v>409</v>
      </c>
      <c r="F430" s="139">
        <v>6</v>
      </c>
      <c r="G430" s="140">
        <v>0</v>
      </c>
      <c r="H430" s="140">
        <v>3</v>
      </c>
      <c r="I430" s="140">
        <v>0</v>
      </c>
      <c r="J430" s="140">
        <f t="shared" si="6"/>
        <v>9</v>
      </c>
      <c r="K430" s="3"/>
    </row>
    <row r="431" spans="1:11" x14ac:dyDescent="0.3">
      <c r="A431" s="4" t="s">
        <v>839</v>
      </c>
      <c r="B431" s="138" t="s">
        <v>360</v>
      </c>
      <c r="C431" s="2" t="s">
        <v>202</v>
      </c>
      <c r="D431" s="2" t="s">
        <v>204</v>
      </c>
      <c r="E431" s="2" t="s">
        <v>412</v>
      </c>
      <c r="F431" s="139">
        <v>3</v>
      </c>
      <c r="G431" s="140">
        <v>0</v>
      </c>
      <c r="H431" s="140">
        <v>0</v>
      </c>
      <c r="I431" s="140">
        <v>0</v>
      </c>
      <c r="J431" s="140">
        <f t="shared" si="6"/>
        <v>3</v>
      </c>
      <c r="K431" s="3"/>
    </row>
    <row r="432" spans="1:11" x14ac:dyDescent="0.3">
      <c r="A432" s="4" t="s">
        <v>840</v>
      </c>
      <c r="B432" s="138" t="s">
        <v>360</v>
      </c>
      <c r="C432" s="2" t="s">
        <v>202</v>
      </c>
      <c r="D432" s="2" t="s">
        <v>199</v>
      </c>
      <c r="E432" s="2" t="s">
        <v>415</v>
      </c>
      <c r="F432" s="139">
        <v>1</v>
      </c>
      <c r="G432" s="140">
        <v>0</v>
      </c>
      <c r="H432" s="140">
        <v>0</v>
      </c>
      <c r="I432" s="140">
        <v>0</v>
      </c>
      <c r="J432" s="140">
        <f t="shared" si="6"/>
        <v>1</v>
      </c>
      <c r="K432" s="3"/>
    </row>
    <row r="433" spans="1:11" x14ac:dyDescent="0.3">
      <c r="A433" s="4" t="s">
        <v>841</v>
      </c>
      <c r="B433" s="138" t="s">
        <v>360</v>
      </c>
      <c r="C433" s="2" t="s">
        <v>202</v>
      </c>
      <c r="D433" s="2" t="s">
        <v>204</v>
      </c>
      <c r="E433" s="2" t="s">
        <v>538</v>
      </c>
      <c r="F433" s="139">
        <v>12</v>
      </c>
      <c r="G433" s="140">
        <v>0</v>
      </c>
      <c r="H433" s="140">
        <v>0</v>
      </c>
      <c r="I433" s="140">
        <v>23</v>
      </c>
      <c r="J433" s="140">
        <f t="shared" si="6"/>
        <v>35</v>
      </c>
      <c r="K433" s="3"/>
    </row>
    <row r="434" spans="1:11" x14ac:dyDescent="0.3">
      <c r="A434" s="4" t="s">
        <v>814</v>
      </c>
      <c r="B434" s="138" t="s">
        <v>360</v>
      </c>
      <c r="C434" s="2" t="s">
        <v>202</v>
      </c>
      <c r="D434" s="2" t="s">
        <v>199</v>
      </c>
      <c r="E434" s="2" t="s">
        <v>384</v>
      </c>
      <c r="F434" s="139">
        <v>4</v>
      </c>
      <c r="G434" s="140">
        <v>0</v>
      </c>
      <c r="H434" s="140">
        <v>0</v>
      </c>
      <c r="I434" s="140">
        <v>0</v>
      </c>
      <c r="J434" s="140">
        <f t="shared" si="6"/>
        <v>4</v>
      </c>
      <c r="K434" s="3"/>
    </row>
    <row r="435" spans="1:11" x14ac:dyDescent="0.3">
      <c r="A435" s="4" t="s">
        <v>842</v>
      </c>
      <c r="B435" s="138" t="s">
        <v>360</v>
      </c>
      <c r="C435" s="2" t="s">
        <v>209</v>
      </c>
      <c r="D435" s="2" t="s">
        <v>207</v>
      </c>
      <c r="E435" s="2" t="s">
        <v>374</v>
      </c>
      <c r="F435" s="139">
        <v>0</v>
      </c>
      <c r="G435" s="140">
        <v>0</v>
      </c>
      <c r="H435" s="140">
        <v>0</v>
      </c>
      <c r="I435" s="140">
        <v>0</v>
      </c>
      <c r="J435" s="140">
        <f t="shared" si="6"/>
        <v>0</v>
      </c>
      <c r="K435" s="3"/>
    </row>
    <row r="436" spans="1:11" x14ac:dyDescent="0.3">
      <c r="A436" s="4" t="s">
        <v>843</v>
      </c>
      <c r="B436" s="138" t="s">
        <v>360</v>
      </c>
      <c r="C436" s="2" t="s">
        <v>188</v>
      </c>
      <c r="D436" s="2" t="s">
        <v>189</v>
      </c>
      <c r="E436" s="2" t="s">
        <v>387</v>
      </c>
      <c r="F436" s="139">
        <v>2</v>
      </c>
      <c r="G436" s="140">
        <v>4</v>
      </c>
      <c r="H436" s="140">
        <v>0</v>
      </c>
      <c r="I436" s="140">
        <v>0</v>
      </c>
      <c r="J436" s="140">
        <f t="shared" si="6"/>
        <v>6</v>
      </c>
      <c r="K436" s="3"/>
    </row>
    <row r="437" spans="1:11" x14ac:dyDescent="0.3">
      <c r="A437" s="4" t="s">
        <v>844</v>
      </c>
      <c r="B437" s="138" t="s">
        <v>360</v>
      </c>
      <c r="C437" s="2" t="s">
        <v>209</v>
      </c>
      <c r="D437" s="2" t="s">
        <v>207</v>
      </c>
      <c r="E437" s="2" t="s">
        <v>374</v>
      </c>
      <c r="F437" s="139">
        <v>3</v>
      </c>
      <c r="G437" s="140">
        <v>0</v>
      </c>
      <c r="H437" s="140">
        <v>0</v>
      </c>
      <c r="I437" s="140">
        <v>0</v>
      </c>
      <c r="J437" s="140">
        <f t="shared" si="6"/>
        <v>3</v>
      </c>
      <c r="K437" s="3"/>
    </row>
    <row r="438" spans="1:11" x14ac:dyDescent="0.3">
      <c r="A438" s="4" t="s">
        <v>845</v>
      </c>
      <c r="B438" s="138" t="s">
        <v>360</v>
      </c>
      <c r="C438" s="2" t="s">
        <v>209</v>
      </c>
      <c r="D438" s="2" t="s">
        <v>207</v>
      </c>
      <c r="E438" s="2" t="s">
        <v>374</v>
      </c>
      <c r="F438" s="139">
        <v>2</v>
      </c>
      <c r="G438" s="140">
        <v>0</v>
      </c>
      <c r="H438" s="140">
        <v>0</v>
      </c>
      <c r="I438" s="140">
        <v>0</v>
      </c>
      <c r="J438" s="140">
        <f t="shared" si="6"/>
        <v>2</v>
      </c>
      <c r="K438" s="3"/>
    </row>
    <row r="439" spans="1:11" x14ac:dyDescent="0.3">
      <c r="A439" s="4" t="s">
        <v>846</v>
      </c>
      <c r="B439" s="138" t="s">
        <v>363</v>
      </c>
      <c r="C439" s="2" t="s">
        <v>206</v>
      </c>
      <c r="D439" s="2" t="s">
        <v>189</v>
      </c>
      <c r="E439" s="2" t="s">
        <v>541</v>
      </c>
      <c r="F439" s="139">
        <v>3</v>
      </c>
      <c r="G439" s="140">
        <v>0</v>
      </c>
      <c r="H439" s="140">
        <v>0</v>
      </c>
      <c r="I439" s="140">
        <v>0</v>
      </c>
      <c r="J439" s="140">
        <f t="shared" si="6"/>
        <v>3</v>
      </c>
      <c r="K439" s="3"/>
    </row>
    <row r="440" spans="1:11" x14ac:dyDescent="0.3">
      <c r="A440" s="4" t="s">
        <v>847</v>
      </c>
      <c r="B440" s="138" t="s">
        <v>360</v>
      </c>
      <c r="C440" s="2" t="s">
        <v>202</v>
      </c>
      <c r="D440" s="2" t="s">
        <v>199</v>
      </c>
      <c r="E440" s="2" t="s">
        <v>378</v>
      </c>
      <c r="F440" s="139">
        <v>13</v>
      </c>
      <c r="G440" s="140">
        <v>0</v>
      </c>
      <c r="H440" s="140">
        <v>0</v>
      </c>
      <c r="I440" s="140">
        <v>0</v>
      </c>
      <c r="J440" s="140">
        <f t="shared" si="6"/>
        <v>13</v>
      </c>
      <c r="K440" s="3"/>
    </row>
    <row r="441" spans="1:11" x14ac:dyDescent="0.3">
      <c r="A441" s="4" t="s">
        <v>848</v>
      </c>
      <c r="B441" s="138" t="s">
        <v>360</v>
      </c>
      <c r="C441" s="2" t="s">
        <v>202</v>
      </c>
      <c r="D441" s="2" t="s">
        <v>204</v>
      </c>
      <c r="E441" s="2" t="s">
        <v>361</v>
      </c>
      <c r="F441" s="139">
        <v>1</v>
      </c>
      <c r="G441" s="140">
        <v>0</v>
      </c>
      <c r="H441" s="140">
        <v>0</v>
      </c>
      <c r="I441" s="140">
        <v>0</v>
      </c>
      <c r="J441" s="140">
        <f t="shared" si="6"/>
        <v>1</v>
      </c>
      <c r="K441" s="3"/>
    </row>
    <row r="442" spans="1:11" x14ac:dyDescent="0.3">
      <c r="A442" s="4" t="s">
        <v>849</v>
      </c>
      <c r="B442" s="138" t="s">
        <v>360</v>
      </c>
      <c r="C442" s="2" t="s">
        <v>202</v>
      </c>
      <c r="D442" s="2" t="s">
        <v>200</v>
      </c>
      <c r="E442" s="2" t="s">
        <v>707</v>
      </c>
      <c r="F442" s="139">
        <v>1</v>
      </c>
      <c r="G442" s="140">
        <v>0</v>
      </c>
      <c r="H442" s="140">
        <v>0</v>
      </c>
      <c r="I442" s="140">
        <v>0</v>
      </c>
      <c r="J442" s="140">
        <f t="shared" si="6"/>
        <v>1</v>
      </c>
      <c r="K442" s="3"/>
    </row>
    <row r="443" spans="1:11" x14ac:dyDescent="0.3">
      <c r="A443" s="4" t="s">
        <v>850</v>
      </c>
      <c r="B443" s="138" t="s">
        <v>360</v>
      </c>
      <c r="C443" s="2" t="s">
        <v>202</v>
      </c>
      <c r="D443" s="2" t="s">
        <v>204</v>
      </c>
      <c r="E443" s="2" t="s">
        <v>361</v>
      </c>
      <c r="F443" s="139">
        <v>16</v>
      </c>
      <c r="G443" s="140">
        <v>0</v>
      </c>
      <c r="H443" s="140">
        <v>0</v>
      </c>
      <c r="I443" s="140">
        <v>0</v>
      </c>
      <c r="J443" s="140">
        <f t="shared" si="6"/>
        <v>16</v>
      </c>
      <c r="K443" s="3"/>
    </row>
    <row r="444" spans="1:11" x14ac:dyDescent="0.3">
      <c r="A444" s="4" t="s">
        <v>851</v>
      </c>
      <c r="B444" s="138" t="s">
        <v>363</v>
      </c>
      <c r="C444" s="2" t="s">
        <v>206</v>
      </c>
      <c r="D444" s="2" t="s">
        <v>189</v>
      </c>
      <c r="E444" s="2" t="s">
        <v>397</v>
      </c>
      <c r="F444" s="139">
        <v>2</v>
      </c>
      <c r="G444" s="140">
        <v>0</v>
      </c>
      <c r="H444" s="140">
        <v>0</v>
      </c>
      <c r="I444" s="140">
        <v>0</v>
      </c>
      <c r="J444" s="140">
        <f t="shared" si="6"/>
        <v>2</v>
      </c>
      <c r="K444" s="3"/>
    </row>
    <row r="445" spans="1:11" x14ac:dyDescent="0.3">
      <c r="A445" s="4" t="s">
        <v>852</v>
      </c>
      <c r="B445" s="138" t="s">
        <v>360</v>
      </c>
      <c r="C445" s="2" t="s">
        <v>188</v>
      </c>
      <c r="D445" s="2" t="s">
        <v>195</v>
      </c>
      <c r="E445" s="2" t="s">
        <v>447</v>
      </c>
      <c r="F445" s="139">
        <v>2</v>
      </c>
      <c r="G445" s="140">
        <v>0</v>
      </c>
      <c r="H445" s="140">
        <v>0</v>
      </c>
      <c r="I445" s="140">
        <v>0</v>
      </c>
      <c r="J445" s="140">
        <f t="shared" si="6"/>
        <v>2</v>
      </c>
      <c r="K445" s="3"/>
    </row>
    <row r="446" spans="1:11" x14ac:dyDescent="0.3">
      <c r="A446" s="4" t="s">
        <v>853</v>
      </c>
      <c r="B446" s="138" t="s">
        <v>360</v>
      </c>
      <c r="C446" s="2" t="s">
        <v>202</v>
      </c>
      <c r="D446" s="2" t="s">
        <v>199</v>
      </c>
      <c r="E446" s="2" t="s">
        <v>473</v>
      </c>
      <c r="F446" s="139">
        <v>5</v>
      </c>
      <c r="G446" s="140">
        <v>0</v>
      </c>
      <c r="H446" s="140">
        <v>0</v>
      </c>
      <c r="I446" s="140">
        <v>0</v>
      </c>
      <c r="J446" s="140">
        <f t="shared" si="6"/>
        <v>5</v>
      </c>
      <c r="K446" s="3"/>
    </row>
    <row r="447" spans="1:11" x14ac:dyDescent="0.3">
      <c r="A447" s="4" t="s">
        <v>854</v>
      </c>
      <c r="B447" s="138" t="s">
        <v>360</v>
      </c>
      <c r="C447" s="2" t="s">
        <v>202</v>
      </c>
      <c r="D447" s="2" t="s">
        <v>204</v>
      </c>
      <c r="E447" s="2" t="s">
        <v>457</v>
      </c>
      <c r="F447" s="139">
        <v>15</v>
      </c>
      <c r="G447" s="140">
        <v>0</v>
      </c>
      <c r="H447" s="140">
        <v>0</v>
      </c>
      <c r="I447" s="140">
        <v>0</v>
      </c>
      <c r="J447" s="140">
        <f t="shared" si="6"/>
        <v>15</v>
      </c>
      <c r="K447" s="3"/>
    </row>
    <row r="448" spans="1:11" x14ac:dyDescent="0.3">
      <c r="A448" s="4" t="s">
        <v>855</v>
      </c>
      <c r="B448" s="138" t="s">
        <v>360</v>
      </c>
      <c r="C448" s="2" t="s">
        <v>202</v>
      </c>
      <c r="D448" s="2" t="s">
        <v>199</v>
      </c>
      <c r="E448" s="2" t="s">
        <v>378</v>
      </c>
      <c r="F448" s="139">
        <v>0</v>
      </c>
      <c r="G448" s="140">
        <v>0</v>
      </c>
      <c r="H448" s="140">
        <v>0</v>
      </c>
      <c r="I448" s="140">
        <v>0</v>
      </c>
      <c r="J448" s="140">
        <f t="shared" si="6"/>
        <v>0</v>
      </c>
      <c r="K448" s="3"/>
    </row>
    <row r="449" spans="1:11" x14ac:dyDescent="0.3">
      <c r="A449" s="4" t="s">
        <v>856</v>
      </c>
      <c r="B449" s="138" t="s">
        <v>360</v>
      </c>
      <c r="C449" s="2" t="s">
        <v>202</v>
      </c>
      <c r="D449" s="2" t="s">
        <v>199</v>
      </c>
      <c r="E449" s="2" t="s">
        <v>459</v>
      </c>
      <c r="F449" s="139">
        <v>6</v>
      </c>
      <c r="G449" s="140">
        <v>0</v>
      </c>
      <c r="H449" s="140">
        <v>0</v>
      </c>
      <c r="I449" s="140">
        <v>0</v>
      </c>
      <c r="J449" s="140">
        <f t="shared" si="6"/>
        <v>6</v>
      </c>
      <c r="K449" s="3"/>
    </row>
    <row r="450" spans="1:11" x14ac:dyDescent="0.3">
      <c r="A450" s="4" t="s">
        <v>857</v>
      </c>
      <c r="B450" s="138" t="s">
        <v>360</v>
      </c>
      <c r="C450" s="127" t="s">
        <v>201</v>
      </c>
      <c r="D450" s="2" t="s">
        <v>197</v>
      </c>
      <c r="E450" s="2" t="s">
        <v>405</v>
      </c>
      <c r="F450" s="139">
        <v>13</v>
      </c>
      <c r="G450" s="140">
        <v>0</v>
      </c>
      <c r="H450" s="140">
        <v>0</v>
      </c>
      <c r="I450" s="140">
        <v>0</v>
      </c>
      <c r="J450" s="140">
        <f t="shared" si="6"/>
        <v>13</v>
      </c>
      <c r="K450" s="3"/>
    </row>
    <row r="451" spans="1:11" x14ac:dyDescent="0.3">
      <c r="A451" s="4" t="s">
        <v>858</v>
      </c>
      <c r="B451" s="138" t="s">
        <v>360</v>
      </c>
      <c r="C451" s="2" t="s">
        <v>202</v>
      </c>
      <c r="D451" s="2" t="s">
        <v>199</v>
      </c>
      <c r="E451" s="2" t="s">
        <v>454</v>
      </c>
      <c r="F451" s="139">
        <v>7</v>
      </c>
      <c r="G451" s="140">
        <v>0</v>
      </c>
      <c r="H451" s="140">
        <v>0</v>
      </c>
      <c r="I451" s="140">
        <v>0</v>
      </c>
      <c r="J451" s="140">
        <f t="shared" si="6"/>
        <v>7</v>
      </c>
      <c r="K451" s="3"/>
    </row>
    <row r="452" spans="1:11" x14ac:dyDescent="0.3">
      <c r="A452" s="4" t="s">
        <v>859</v>
      </c>
      <c r="B452" s="138" t="s">
        <v>360</v>
      </c>
      <c r="C452" s="2" t="s">
        <v>202</v>
      </c>
      <c r="D452" s="2" t="s">
        <v>204</v>
      </c>
      <c r="E452" s="2" t="s">
        <v>412</v>
      </c>
      <c r="F452" s="139">
        <v>1</v>
      </c>
      <c r="G452" s="140">
        <v>0</v>
      </c>
      <c r="H452" s="140">
        <v>0</v>
      </c>
      <c r="I452" s="140">
        <v>0</v>
      </c>
      <c r="J452" s="140">
        <f t="shared" si="6"/>
        <v>1</v>
      </c>
      <c r="K452" s="3"/>
    </row>
    <row r="453" spans="1:11" x14ac:dyDescent="0.3">
      <c r="A453" s="4" t="s">
        <v>860</v>
      </c>
      <c r="B453" s="138" t="s">
        <v>360</v>
      </c>
      <c r="C453" s="2" t="s">
        <v>202</v>
      </c>
      <c r="D453" s="2" t="s">
        <v>199</v>
      </c>
      <c r="E453" s="2" t="s">
        <v>393</v>
      </c>
      <c r="F453" s="139">
        <v>1</v>
      </c>
      <c r="G453" s="140">
        <v>0</v>
      </c>
      <c r="H453" s="140">
        <v>0</v>
      </c>
      <c r="I453" s="140">
        <v>0</v>
      </c>
      <c r="J453" s="140">
        <f t="shared" ref="J453:J516" si="7">SUM(F453:I453)</f>
        <v>1</v>
      </c>
      <c r="K453" s="3"/>
    </row>
    <row r="454" spans="1:11" x14ac:dyDescent="0.3">
      <c r="A454" s="4" t="s">
        <v>861</v>
      </c>
      <c r="B454" s="138" t="s">
        <v>360</v>
      </c>
      <c r="C454" s="2" t="s">
        <v>188</v>
      </c>
      <c r="D454" s="2" t="s">
        <v>197</v>
      </c>
      <c r="E454" s="2" t="s">
        <v>862</v>
      </c>
      <c r="F454" s="139">
        <v>4</v>
      </c>
      <c r="G454" s="140">
        <v>0</v>
      </c>
      <c r="H454" s="140">
        <v>0</v>
      </c>
      <c r="I454" s="140">
        <v>0</v>
      </c>
      <c r="J454" s="140">
        <f t="shared" si="7"/>
        <v>4</v>
      </c>
      <c r="K454" s="3"/>
    </row>
    <row r="455" spans="1:11" x14ac:dyDescent="0.3">
      <c r="A455" s="4" t="s">
        <v>863</v>
      </c>
      <c r="B455" s="138" t="s">
        <v>360</v>
      </c>
      <c r="C455" s="2" t="s">
        <v>202</v>
      </c>
      <c r="D455" s="2" t="s">
        <v>199</v>
      </c>
      <c r="E455" s="2" t="s">
        <v>454</v>
      </c>
      <c r="F455" s="139">
        <v>1</v>
      </c>
      <c r="G455" s="140">
        <v>0</v>
      </c>
      <c r="H455" s="140">
        <v>0</v>
      </c>
      <c r="I455" s="140">
        <v>0</v>
      </c>
      <c r="J455" s="140">
        <f t="shared" si="7"/>
        <v>1</v>
      </c>
      <c r="K455" s="3"/>
    </row>
    <row r="456" spans="1:11" x14ac:dyDescent="0.3">
      <c r="A456" s="4" t="s">
        <v>864</v>
      </c>
      <c r="B456" s="138" t="s">
        <v>360</v>
      </c>
      <c r="C456" s="2" t="s">
        <v>202</v>
      </c>
      <c r="D456" s="2" t="s">
        <v>199</v>
      </c>
      <c r="E456" s="2" t="s">
        <v>393</v>
      </c>
      <c r="F456" s="139">
        <v>4</v>
      </c>
      <c r="G456" s="140">
        <v>20</v>
      </c>
      <c r="H456" s="140">
        <v>0</v>
      </c>
      <c r="I456" s="140">
        <v>0</v>
      </c>
      <c r="J456" s="140">
        <f t="shared" si="7"/>
        <v>24</v>
      </c>
      <c r="K456" s="3"/>
    </row>
    <row r="457" spans="1:11" x14ac:dyDescent="0.3">
      <c r="A457" s="4" t="s">
        <v>865</v>
      </c>
      <c r="B457" s="138" t="s">
        <v>363</v>
      </c>
      <c r="C457" s="2" t="s">
        <v>198</v>
      </c>
      <c r="D457" s="2" t="s">
        <v>199</v>
      </c>
      <c r="E457" s="2" t="s">
        <v>380</v>
      </c>
      <c r="F457" s="139">
        <v>2</v>
      </c>
      <c r="G457" s="140">
        <v>0</v>
      </c>
      <c r="H457" s="140">
        <v>0</v>
      </c>
      <c r="I457" s="140">
        <v>0</v>
      </c>
      <c r="J457" s="140">
        <f t="shared" si="7"/>
        <v>2</v>
      </c>
      <c r="K457" s="3"/>
    </row>
    <row r="458" spans="1:11" x14ac:dyDescent="0.3">
      <c r="A458" s="4" t="s">
        <v>866</v>
      </c>
      <c r="B458" s="138" t="s">
        <v>363</v>
      </c>
      <c r="C458" s="2" t="s">
        <v>208</v>
      </c>
      <c r="D458" s="2" t="s">
        <v>197</v>
      </c>
      <c r="E458" s="2" t="s">
        <v>439</v>
      </c>
      <c r="F458" s="139">
        <v>0</v>
      </c>
      <c r="G458" s="140">
        <v>0</v>
      </c>
      <c r="H458" s="140">
        <v>0</v>
      </c>
      <c r="I458" s="140">
        <v>0</v>
      </c>
      <c r="J458" s="140">
        <f t="shared" si="7"/>
        <v>0</v>
      </c>
      <c r="K458" s="3"/>
    </row>
    <row r="459" spans="1:11" x14ac:dyDescent="0.3">
      <c r="A459" s="4" t="s">
        <v>867</v>
      </c>
      <c r="B459" s="138" t="s">
        <v>360</v>
      </c>
      <c r="C459" s="2" t="s">
        <v>202</v>
      </c>
      <c r="D459" s="2" t="s">
        <v>199</v>
      </c>
      <c r="E459" s="2" t="s">
        <v>415</v>
      </c>
      <c r="F459" s="139">
        <v>16</v>
      </c>
      <c r="G459" s="140">
        <v>0</v>
      </c>
      <c r="H459" s="140">
        <v>0</v>
      </c>
      <c r="I459" s="140">
        <v>3</v>
      </c>
      <c r="J459" s="140">
        <f t="shared" si="7"/>
        <v>19</v>
      </c>
      <c r="K459" s="3"/>
    </row>
    <row r="460" spans="1:11" x14ac:dyDescent="0.3">
      <c r="A460" s="4" t="s">
        <v>868</v>
      </c>
      <c r="B460" s="138" t="s">
        <v>360</v>
      </c>
      <c r="C460" s="2" t="s">
        <v>202</v>
      </c>
      <c r="D460" s="2" t="s">
        <v>204</v>
      </c>
      <c r="E460" s="2" t="s">
        <v>366</v>
      </c>
      <c r="F460" s="139">
        <v>3</v>
      </c>
      <c r="G460" s="140">
        <v>0</v>
      </c>
      <c r="H460" s="140">
        <v>0</v>
      </c>
      <c r="I460" s="140">
        <v>0</v>
      </c>
      <c r="J460" s="140">
        <f t="shared" si="7"/>
        <v>3</v>
      </c>
      <c r="K460" s="3"/>
    </row>
    <row r="461" spans="1:11" x14ac:dyDescent="0.3">
      <c r="A461" s="4" t="s">
        <v>869</v>
      </c>
      <c r="B461" s="138" t="s">
        <v>363</v>
      </c>
      <c r="C461" s="2" t="s">
        <v>198</v>
      </c>
      <c r="D461" s="2" t="s">
        <v>199</v>
      </c>
      <c r="E461" s="2" t="s">
        <v>364</v>
      </c>
      <c r="F461" s="139">
        <v>1</v>
      </c>
      <c r="G461" s="140">
        <v>0</v>
      </c>
      <c r="H461" s="140">
        <v>0</v>
      </c>
      <c r="I461" s="140">
        <v>0</v>
      </c>
      <c r="J461" s="140">
        <f t="shared" si="7"/>
        <v>1</v>
      </c>
      <c r="K461" s="3"/>
    </row>
    <row r="462" spans="1:11" x14ac:dyDescent="0.3">
      <c r="A462" s="4" t="s">
        <v>870</v>
      </c>
      <c r="B462" s="138" t="s">
        <v>363</v>
      </c>
      <c r="C462" s="2" t="s">
        <v>208</v>
      </c>
      <c r="D462" s="2" t="s">
        <v>195</v>
      </c>
      <c r="E462" s="2" t="s">
        <v>500</v>
      </c>
      <c r="F462" s="139">
        <v>1</v>
      </c>
      <c r="G462" s="140">
        <v>0</v>
      </c>
      <c r="H462" s="140">
        <v>0</v>
      </c>
      <c r="I462" s="140">
        <v>0</v>
      </c>
      <c r="J462" s="140">
        <f t="shared" si="7"/>
        <v>1</v>
      </c>
      <c r="K462" s="3"/>
    </row>
    <row r="463" spans="1:11" x14ac:dyDescent="0.3">
      <c r="A463" s="4" t="s">
        <v>871</v>
      </c>
      <c r="B463" s="138" t="s">
        <v>360</v>
      </c>
      <c r="C463" s="2" t="s">
        <v>209</v>
      </c>
      <c r="D463" s="2" t="s">
        <v>207</v>
      </c>
      <c r="E463" s="2" t="s">
        <v>374</v>
      </c>
      <c r="F463" s="139">
        <v>3</v>
      </c>
      <c r="G463" s="140">
        <v>0</v>
      </c>
      <c r="H463" s="140">
        <v>0</v>
      </c>
      <c r="I463" s="140">
        <v>0</v>
      </c>
      <c r="J463" s="140">
        <f t="shared" si="7"/>
        <v>3</v>
      </c>
      <c r="K463" s="3"/>
    </row>
    <row r="464" spans="1:11" x14ac:dyDescent="0.3">
      <c r="A464" s="4" t="s">
        <v>872</v>
      </c>
      <c r="B464" s="138" t="s">
        <v>360</v>
      </c>
      <c r="C464" s="2" t="s">
        <v>202</v>
      </c>
      <c r="D464" s="2" t="s">
        <v>204</v>
      </c>
      <c r="E464" s="2" t="s">
        <v>361</v>
      </c>
      <c r="F464" s="139">
        <v>2</v>
      </c>
      <c r="G464" s="140">
        <v>0</v>
      </c>
      <c r="H464" s="140">
        <v>0</v>
      </c>
      <c r="I464" s="140">
        <v>0</v>
      </c>
      <c r="J464" s="140">
        <f t="shared" si="7"/>
        <v>2</v>
      </c>
      <c r="K464" s="3"/>
    </row>
    <row r="465" spans="1:11" x14ac:dyDescent="0.3">
      <c r="A465" s="4" t="s">
        <v>873</v>
      </c>
      <c r="B465" s="138" t="s">
        <v>360</v>
      </c>
      <c r="C465" s="2" t="s">
        <v>202</v>
      </c>
      <c r="D465" s="2" t="s">
        <v>204</v>
      </c>
      <c r="E465" s="2" t="s">
        <v>419</v>
      </c>
      <c r="F465" s="139">
        <v>9</v>
      </c>
      <c r="G465" s="140">
        <v>0</v>
      </c>
      <c r="H465" s="140">
        <v>0</v>
      </c>
      <c r="I465" s="140">
        <v>0</v>
      </c>
      <c r="J465" s="140">
        <f t="shared" si="7"/>
        <v>9</v>
      </c>
      <c r="K465" s="3"/>
    </row>
    <row r="466" spans="1:11" x14ac:dyDescent="0.3">
      <c r="A466" s="4" t="s">
        <v>77</v>
      </c>
      <c r="B466" s="138" t="s">
        <v>363</v>
      </c>
      <c r="C466" s="2" t="s">
        <v>206</v>
      </c>
      <c r="D466" s="2" t="s">
        <v>197</v>
      </c>
      <c r="E466" s="2" t="s">
        <v>637</v>
      </c>
      <c r="F466" s="139">
        <v>1</v>
      </c>
      <c r="G466" s="140">
        <v>0</v>
      </c>
      <c r="H466" s="140">
        <v>0</v>
      </c>
      <c r="I466" s="140">
        <v>0</v>
      </c>
      <c r="J466" s="140">
        <f t="shared" si="7"/>
        <v>1</v>
      </c>
      <c r="K466" s="3"/>
    </row>
    <row r="467" spans="1:11" x14ac:dyDescent="0.3">
      <c r="A467" s="4" t="s">
        <v>874</v>
      </c>
      <c r="B467" s="138" t="s">
        <v>360</v>
      </c>
      <c r="C467" s="2" t="s">
        <v>188</v>
      </c>
      <c r="D467" s="2" t="s">
        <v>189</v>
      </c>
      <c r="E467" s="2" t="s">
        <v>421</v>
      </c>
      <c r="F467" s="139">
        <v>1</v>
      </c>
      <c r="G467" s="140">
        <v>0</v>
      </c>
      <c r="H467" s="140">
        <v>0</v>
      </c>
      <c r="I467" s="140">
        <v>0</v>
      </c>
      <c r="J467" s="140">
        <f t="shared" si="7"/>
        <v>1</v>
      </c>
      <c r="K467" s="3"/>
    </row>
    <row r="468" spans="1:11" x14ac:dyDescent="0.3">
      <c r="A468" s="4" t="s">
        <v>875</v>
      </c>
      <c r="B468" s="138" t="s">
        <v>360</v>
      </c>
      <c r="C468" s="2" t="s">
        <v>209</v>
      </c>
      <c r="D468" s="2" t="s">
        <v>207</v>
      </c>
      <c r="E468" s="2" t="s">
        <v>382</v>
      </c>
      <c r="F468" s="139">
        <v>1</v>
      </c>
      <c r="G468" s="140">
        <v>0</v>
      </c>
      <c r="H468" s="140">
        <v>0</v>
      </c>
      <c r="I468" s="140">
        <v>0</v>
      </c>
      <c r="J468" s="140">
        <f t="shared" si="7"/>
        <v>1</v>
      </c>
      <c r="K468" s="3"/>
    </row>
    <row r="469" spans="1:11" x14ac:dyDescent="0.3">
      <c r="A469" s="4" t="s">
        <v>876</v>
      </c>
      <c r="B469" s="138" t="s">
        <v>360</v>
      </c>
      <c r="C469" s="2" t="s">
        <v>202</v>
      </c>
      <c r="D469" s="2" t="s">
        <v>199</v>
      </c>
      <c r="E469" s="2" t="s">
        <v>428</v>
      </c>
      <c r="F469" s="139">
        <v>14</v>
      </c>
      <c r="G469" s="140">
        <v>0</v>
      </c>
      <c r="H469" s="140">
        <v>0</v>
      </c>
      <c r="I469" s="140">
        <v>0</v>
      </c>
      <c r="J469" s="140">
        <f t="shared" si="7"/>
        <v>14</v>
      </c>
      <c r="K469" s="3"/>
    </row>
    <row r="470" spans="1:11" x14ac:dyDescent="0.3">
      <c r="A470" s="4" t="s">
        <v>877</v>
      </c>
      <c r="B470" s="138" t="s">
        <v>360</v>
      </c>
      <c r="C470" s="2" t="s">
        <v>188</v>
      </c>
      <c r="D470" s="2" t="s">
        <v>189</v>
      </c>
      <c r="E470" s="2" t="s">
        <v>421</v>
      </c>
      <c r="F470" s="139">
        <v>4</v>
      </c>
      <c r="G470" s="140">
        <v>14</v>
      </c>
      <c r="H470" s="140">
        <v>0</v>
      </c>
      <c r="I470" s="140">
        <v>0</v>
      </c>
      <c r="J470" s="140">
        <f t="shared" si="7"/>
        <v>18</v>
      </c>
      <c r="K470" s="3"/>
    </row>
    <row r="471" spans="1:11" x14ac:dyDescent="0.3">
      <c r="A471" s="4" t="s">
        <v>878</v>
      </c>
      <c r="B471" s="138" t="s">
        <v>360</v>
      </c>
      <c r="C471" s="2" t="s">
        <v>202</v>
      </c>
      <c r="D471" s="2" t="s">
        <v>199</v>
      </c>
      <c r="E471" s="2" t="s">
        <v>415</v>
      </c>
      <c r="F471" s="139">
        <v>11</v>
      </c>
      <c r="G471" s="140">
        <v>0</v>
      </c>
      <c r="H471" s="140">
        <v>0</v>
      </c>
      <c r="I471" s="140">
        <v>0</v>
      </c>
      <c r="J471" s="140">
        <f t="shared" si="7"/>
        <v>11</v>
      </c>
      <c r="K471" s="3"/>
    </row>
    <row r="472" spans="1:11" x14ac:dyDescent="0.3">
      <c r="A472" s="4" t="s">
        <v>879</v>
      </c>
      <c r="B472" s="138" t="s">
        <v>360</v>
      </c>
      <c r="C472" s="2" t="s">
        <v>202</v>
      </c>
      <c r="D472" s="2" t="s">
        <v>204</v>
      </c>
      <c r="E472" s="2" t="s">
        <v>462</v>
      </c>
      <c r="F472" s="139">
        <v>0</v>
      </c>
      <c r="G472" s="140">
        <v>0</v>
      </c>
      <c r="H472" s="140">
        <v>0</v>
      </c>
      <c r="I472" s="140">
        <v>0</v>
      </c>
      <c r="J472" s="140">
        <f t="shared" si="7"/>
        <v>0</v>
      </c>
      <c r="K472" s="3"/>
    </row>
    <row r="473" spans="1:11" x14ac:dyDescent="0.3">
      <c r="A473" s="4" t="s">
        <v>880</v>
      </c>
      <c r="B473" s="138" t="s">
        <v>360</v>
      </c>
      <c r="C473" s="2" t="s">
        <v>202</v>
      </c>
      <c r="D473" s="2" t="s">
        <v>199</v>
      </c>
      <c r="E473" s="2" t="s">
        <v>428</v>
      </c>
      <c r="F473" s="139">
        <v>1</v>
      </c>
      <c r="G473" s="140">
        <v>3</v>
      </c>
      <c r="H473" s="140">
        <v>0</v>
      </c>
      <c r="I473" s="140">
        <v>0</v>
      </c>
      <c r="J473" s="140">
        <f t="shared" si="7"/>
        <v>4</v>
      </c>
      <c r="K473" s="3"/>
    </row>
    <row r="474" spans="1:11" x14ac:dyDescent="0.3">
      <c r="A474" s="4" t="s">
        <v>881</v>
      </c>
      <c r="B474" s="138" t="s">
        <v>360</v>
      </c>
      <c r="C474" s="2" t="s">
        <v>202</v>
      </c>
      <c r="D474" s="2" t="s">
        <v>199</v>
      </c>
      <c r="E474" s="2" t="s">
        <v>384</v>
      </c>
      <c r="F474" s="139">
        <v>11</v>
      </c>
      <c r="G474" s="140">
        <v>0</v>
      </c>
      <c r="H474" s="140">
        <v>0</v>
      </c>
      <c r="I474" s="140">
        <v>0</v>
      </c>
      <c r="J474" s="140">
        <f t="shared" si="7"/>
        <v>11</v>
      </c>
      <c r="K474" s="3"/>
    </row>
    <row r="475" spans="1:11" x14ac:dyDescent="0.3">
      <c r="A475" s="4" t="s">
        <v>882</v>
      </c>
      <c r="B475" s="138" t="s">
        <v>360</v>
      </c>
      <c r="C475" s="2" t="s">
        <v>202</v>
      </c>
      <c r="D475" s="2" t="s">
        <v>204</v>
      </c>
      <c r="E475" s="2" t="s">
        <v>389</v>
      </c>
      <c r="F475" s="139">
        <v>14</v>
      </c>
      <c r="G475" s="140">
        <v>0</v>
      </c>
      <c r="H475" s="140">
        <v>0</v>
      </c>
      <c r="I475" s="140">
        <v>0</v>
      </c>
      <c r="J475" s="140">
        <f t="shared" si="7"/>
        <v>14</v>
      </c>
      <c r="K475" s="3"/>
    </row>
    <row r="476" spans="1:11" x14ac:dyDescent="0.3">
      <c r="A476" s="4" t="s">
        <v>883</v>
      </c>
      <c r="B476" s="138" t="s">
        <v>478</v>
      </c>
      <c r="C476" s="127" t="s">
        <v>205</v>
      </c>
      <c r="D476" s="2" t="s">
        <v>196</v>
      </c>
      <c r="E476" s="2" t="s">
        <v>479</v>
      </c>
      <c r="F476" s="139">
        <v>13</v>
      </c>
      <c r="G476" s="140">
        <v>9</v>
      </c>
      <c r="H476" s="140">
        <v>0</v>
      </c>
      <c r="I476" s="140">
        <v>0</v>
      </c>
      <c r="J476" s="140">
        <f t="shared" si="7"/>
        <v>22</v>
      </c>
      <c r="K476" s="3"/>
    </row>
    <row r="477" spans="1:11" x14ac:dyDescent="0.3">
      <c r="A477" s="4" t="s">
        <v>884</v>
      </c>
      <c r="B477" s="138" t="s">
        <v>360</v>
      </c>
      <c r="C477" s="2" t="s">
        <v>188</v>
      </c>
      <c r="D477" s="2" t="s">
        <v>189</v>
      </c>
      <c r="E477" s="2" t="s">
        <v>421</v>
      </c>
      <c r="F477" s="139">
        <v>0</v>
      </c>
      <c r="G477" s="140">
        <v>0</v>
      </c>
      <c r="H477" s="140">
        <v>0</v>
      </c>
      <c r="I477" s="140">
        <v>0</v>
      </c>
      <c r="J477" s="140">
        <f t="shared" si="7"/>
        <v>0</v>
      </c>
      <c r="K477" s="3"/>
    </row>
    <row r="478" spans="1:11" x14ac:dyDescent="0.3">
      <c r="A478" s="4" t="s">
        <v>885</v>
      </c>
      <c r="B478" s="138" t="s">
        <v>360</v>
      </c>
      <c r="C478" s="2" t="s">
        <v>202</v>
      </c>
      <c r="D478" s="2" t="s">
        <v>204</v>
      </c>
      <c r="E478" s="2" t="s">
        <v>419</v>
      </c>
      <c r="F478" s="139">
        <v>3</v>
      </c>
      <c r="G478" s="140">
        <v>0</v>
      </c>
      <c r="H478" s="140">
        <v>0</v>
      </c>
      <c r="I478" s="140">
        <v>0</v>
      </c>
      <c r="J478" s="140">
        <f t="shared" si="7"/>
        <v>3</v>
      </c>
      <c r="K478" s="3"/>
    </row>
    <row r="479" spans="1:11" x14ac:dyDescent="0.3">
      <c r="A479" s="4" t="s">
        <v>886</v>
      </c>
      <c r="B479" s="138" t="s">
        <v>363</v>
      </c>
      <c r="C479" s="2" t="s">
        <v>198</v>
      </c>
      <c r="D479" s="2" t="s">
        <v>200</v>
      </c>
      <c r="E479" s="2" t="s">
        <v>450</v>
      </c>
      <c r="F479" s="139">
        <v>17</v>
      </c>
      <c r="G479" s="140">
        <v>6</v>
      </c>
      <c r="H479" s="140">
        <v>0</v>
      </c>
      <c r="I479" s="140">
        <v>0</v>
      </c>
      <c r="J479" s="140">
        <f t="shared" si="7"/>
        <v>23</v>
      </c>
      <c r="K479" s="3"/>
    </row>
    <row r="480" spans="1:11" x14ac:dyDescent="0.3">
      <c r="A480" s="4" t="s">
        <v>887</v>
      </c>
      <c r="B480" s="138" t="s">
        <v>360</v>
      </c>
      <c r="C480" s="2" t="s">
        <v>202</v>
      </c>
      <c r="D480" s="2" t="s">
        <v>204</v>
      </c>
      <c r="E480" s="2" t="s">
        <v>457</v>
      </c>
      <c r="F480" s="139">
        <v>1</v>
      </c>
      <c r="G480" s="140">
        <v>8</v>
      </c>
      <c r="H480" s="140">
        <v>0</v>
      </c>
      <c r="I480" s="140">
        <v>0</v>
      </c>
      <c r="J480" s="140">
        <f t="shared" si="7"/>
        <v>9</v>
      </c>
      <c r="K480" s="3"/>
    </row>
    <row r="481" spans="1:11" x14ac:dyDescent="0.3">
      <c r="A481" s="4" t="s">
        <v>888</v>
      </c>
      <c r="B481" s="138" t="s">
        <v>360</v>
      </c>
      <c r="C481" s="2" t="s">
        <v>202</v>
      </c>
      <c r="D481" s="2" t="s">
        <v>204</v>
      </c>
      <c r="E481" s="2" t="s">
        <v>412</v>
      </c>
      <c r="F481" s="139">
        <v>14</v>
      </c>
      <c r="G481" s="140">
        <v>0</v>
      </c>
      <c r="H481" s="140">
        <v>0</v>
      </c>
      <c r="I481" s="140">
        <v>0</v>
      </c>
      <c r="J481" s="140">
        <f t="shared" si="7"/>
        <v>14</v>
      </c>
      <c r="K481" s="3"/>
    </row>
    <row r="482" spans="1:11" x14ac:dyDescent="0.3">
      <c r="A482" s="4" t="s">
        <v>889</v>
      </c>
      <c r="B482" s="138" t="s">
        <v>360</v>
      </c>
      <c r="C482" s="2" t="s">
        <v>188</v>
      </c>
      <c r="D482" s="2" t="s">
        <v>189</v>
      </c>
      <c r="E482" s="2" t="s">
        <v>387</v>
      </c>
      <c r="F482" s="139">
        <v>2</v>
      </c>
      <c r="G482" s="140">
        <v>0</v>
      </c>
      <c r="H482" s="140">
        <v>0</v>
      </c>
      <c r="I482" s="140">
        <v>0</v>
      </c>
      <c r="J482" s="140">
        <f t="shared" si="7"/>
        <v>2</v>
      </c>
      <c r="K482" s="3"/>
    </row>
    <row r="483" spans="1:11" x14ac:dyDescent="0.3">
      <c r="A483" s="4" t="s">
        <v>890</v>
      </c>
      <c r="B483" s="138" t="s">
        <v>363</v>
      </c>
      <c r="C483" s="2" t="s">
        <v>206</v>
      </c>
      <c r="D483" s="2" t="s">
        <v>189</v>
      </c>
      <c r="E483" s="2" t="s">
        <v>541</v>
      </c>
      <c r="F483" s="139">
        <v>2</v>
      </c>
      <c r="G483" s="140">
        <v>0</v>
      </c>
      <c r="H483" s="140">
        <v>0</v>
      </c>
      <c r="I483" s="140">
        <v>0</v>
      </c>
      <c r="J483" s="140">
        <f t="shared" si="7"/>
        <v>2</v>
      </c>
      <c r="K483" s="3"/>
    </row>
    <row r="484" spans="1:11" x14ac:dyDescent="0.3">
      <c r="A484" s="4" t="s">
        <v>891</v>
      </c>
      <c r="B484" s="138" t="s">
        <v>363</v>
      </c>
      <c r="C484" s="2" t="s">
        <v>198</v>
      </c>
      <c r="D484" s="2" t="s">
        <v>197</v>
      </c>
      <c r="E484" s="2" t="s">
        <v>409</v>
      </c>
      <c r="F484" s="139">
        <v>16</v>
      </c>
      <c r="G484" s="140">
        <v>0</v>
      </c>
      <c r="H484" s="140">
        <v>0</v>
      </c>
      <c r="I484" s="140">
        <v>0</v>
      </c>
      <c r="J484" s="140">
        <f t="shared" si="7"/>
        <v>16</v>
      </c>
      <c r="K484" s="3"/>
    </row>
    <row r="485" spans="1:11" x14ac:dyDescent="0.3">
      <c r="A485" s="4" t="s">
        <v>892</v>
      </c>
      <c r="B485" s="138" t="s">
        <v>360</v>
      </c>
      <c r="C485" s="2" t="s">
        <v>188</v>
      </c>
      <c r="D485" s="2" t="s">
        <v>196</v>
      </c>
      <c r="E485" s="2" t="s">
        <v>423</v>
      </c>
      <c r="F485" s="139">
        <v>13</v>
      </c>
      <c r="G485" s="140">
        <v>3</v>
      </c>
      <c r="H485" s="140">
        <v>0</v>
      </c>
      <c r="I485" s="140">
        <v>2</v>
      </c>
      <c r="J485" s="140">
        <f t="shared" si="7"/>
        <v>18</v>
      </c>
      <c r="K485" s="3"/>
    </row>
    <row r="486" spans="1:11" x14ac:dyDescent="0.3">
      <c r="A486" s="4" t="s">
        <v>893</v>
      </c>
      <c r="B486" s="138" t="s">
        <v>363</v>
      </c>
      <c r="C486" s="2" t="s">
        <v>198</v>
      </c>
      <c r="D486" s="2" t="s">
        <v>199</v>
      </c>
      <c r="E486" s="2" t="s">
        <v>364</v>
      </c>
      <c r="F486" s="139">
        <v>14</v>
      </c>
      <c r="G486" s="140">
        <v>0</v>
      </c>
      <c r="H486" s="140">
        <v>0</v>
      </c>
      <c r="I486" s="140">
        <v>1</v>
      </c>
      <c r="J486" s="140">
        <f t="shared" si="7"/>
        <v>15</v>
      </c>
      <c r="K486" s="3"/>
    </row>
    <row r="487" spans="1:11" x14ac:dyDescent="0.3">
      <c r="A487" s="4" t="s">
        <v>894</v>
      </c>
      <c r="B487" s="138" t="s">
        <v>363</v>
      </c>
      <c r="C487" s="2" t="s">
        <v>198</v>
      </c>
      <c r="D487" s="2" t="s">
        <v>199</v>
      </c>
      <c r="E487" s="2" t="s">
        <v>432</v>
      </c>
      <c r="F487" s="139">
        <v>8</v>
      </c>
      <c r="G487" s="140">
        <v>0</v>
      </c>
      <c r="H487" s="140">
        <v>0</v>
      </c>
      <c r="I487" s="140">
        <v>0</v>
      </c>
      <c r="J487" s="140">
        <f t="shared" si="7"/>
        <v>8</v>
      </c>
      <c r="K487" s="3"/>
    </row>
    <row r="488" spans="1:11" x14ac:dyDescent="0.3">
      <c r="A488" s="4" t="s">
        <v>895</v>
      </c>
      <c r="B488" s="138" t="s">
        <v>360</v>
      </c>
      <c r="C488" s="127" t="s">
        <v>201</v>
      </c>
      <c r="D488" s="2" t="s">
        <v>197</v>
      </c>
      <c r="E488" s="2" t="s">
        <v>405</v>
      </c>
      <c r="F488" s="139">
        <v>12</v>
      </c>
      <c r="G488" s="140">
        <v>0</v>
      </c>
      <c r="H488" s="140">
        <v>0</v>
      </c>
      <c r="I488" s="140">
        <v>0</v>
      </c>
      <c r="J488" s="140">
        <f t="shared" si="7"/>
        <v>12</v>
      </c>
      <c r="K488" s="3"/>
    </row>
    <row r="489" spans="1:11" x14ac:dyDescent="0.3">
      <c r="A489" s="4" t="s">
        <v>896</v>
      </c>
      <c r="B489" s="138" t="s">
        <v>360</v>
      </c>
      <c r="C489" s="2" t="s">
        <v>202</v>
      </c>
      <c r="D489" s="2" t="s">
        <v>204</v>
      </c>
      <c r="E489" s="2" t="s">
        <v>412</v>
      </c>
      <c r="F489" s="139">
        <v>6</v>
      </c>
      <c r="G489" s="140">
        <v>0</v>
      </c>
      <c r="H489" s="140">
        <v>0</v>
      </c>
      <c r="I489" s="140">
        <v>0</v>
      </c>
      <c r="J489" s="140">
        <f t="shared" si="7"/>
        <v>6</v>
      </c>
      <c r="K489" s="3"/>
    </row>
    <row r="490" spans="1:11" x14ac:dyDescent="0.3">
      <c r="A490" s="4" t="s">
        <v>897</v>
      </c>
      <c r="B490" s="138" t="s">
        <v>360</v>
      </c>
      <c r="C490" s="2" t="s">
        <v>188</v>
      </c>
      <c r="D490" s="2" t="s">
        <v>196</v>
      </c>
      <c r="E490" s="2" t="s">
        <v>395</v>
      </c>
      <c r="F490" s="139">
        <v>2</v>
      </c>
      <c r="G490" s="140">
        <v>0</v>
      </c>
      <c r="H490" s="140">
        <v>0</v>
      </c>
      <c r="I490" s="140">
        <v>0</v>
      </c>
      <c r="J490" s="140">
        <f t="shared" si="7"/>
        <v>2</v>
      </c>
      <c r="K490" s="3"/>
    </row>
    <row r="491" spans="1:11" x14ac:dyDescent="0.3">
      <c r="A491" s="4" t="s">
        <v>898</v>
      </c>
      <c r="B491" s="138" t="s">
        <v>360</v>
      </c>
      <c r="C491" s="2" t="s">
        <v>202</v>
      </c>
      <c r="D491" s="2" t="s">
        <v>199</v>
      </c>
      <c r="E491" s="2" t="s">
        <v>393</v>
      </c>
      <c r="F491" s="139">
        <v>9</v>
      </c>
      <c r="G491" s="140">
        <v>0</v>
      </c>
      <c r="H491" s="140">
        <v>0</v>
      </c>
      <c r="I491" s="140">
        <v>0</v>
      </c>
      <c r="J491" s="140">
        <f t="shared" si="7"/>
        <v>9</v>
      </c>
      <c r="K491" s="3"/>
    </row>
    <row r="492" spans="1:11" x14ac:dyDescent="0.3">
      <c r="A492" s="4" t="s">
        <v>899</v>
      </c>
      <c r="B492" s="138" t="s">
        <v>363</v>
      </c>
      <c r="C492" s="2" t="s">
        <v>198</v>
      </c>
      <c r="D492" s="2" t="s">
        <v>197</v>
      </c>
      <c r="E492" s="2" t="s">
        <v>409</v>
      </c>
      <c r="F492" s="139">
        <v>12</v>
      </c>
      <c r="G492" s="140">
        <v>0</v>
      </c>
      <c r="H492" s="140">
        <v>0</v>
      </c>
      <c r="I492" s="140">
        <v>10</v>
      </c>
      <c r="J492" s="140">
        <f t="shared" si="7"/>
        <v>22</v>
      </c>
      <c r="K492" s="3"/>
    </row>
    <row r="493" spans="1:11" x14ac:dyDescent="0.3">
      <c r="A493" s="4" t="s">
        <v>900</v>
      </c>
      <c r="B493" s="138" t="s">
        <v>360</v>
      </c>
      <c r="C493" s="2" t="s">
        <v>188</v>
      </c>
      <c r="D493" s="2" t="s">
        <v>196</v>
      </c>
      <c r="E493" s="2" t="s">
        <v>423</v>
      </c>
      <c r="F493" s="139">
        <v>9</v>
      </c>
      <c r="G493" s="140">
        <v>0</v>
      </c>
      <c r="H493" s="140">
        <v>0</v>
      </c>
      <c r="I493" s="140">
        <v>0</v>
      </c>
      <c r="J493" s="140">
        <f t="shared" si="7"/>
        <v>9</v>
      </c>
      <c r="K493" s="3"/>
    </row>
    <row r="494" spans="1:11" x14ac:dyDescent="0.3">
      <c r="A494" s="4" t="s">
        <v>901</v>
      </c>
      <c r="B494" s="138" t="s">
        <v>360</v>
      </c>
      <c r="C494" s="2" t="s">
        <v>202</v>
      </c>
      <c r="D494" s="2" t="s">
        <v>200</v>
      </c>
      <c r="E494" s="2" t="s">
        <v>707</v>
      </c>
      <c r="F494" s="139">
        <v>5</v>
      </c>
      <c r="G494" s="140">
        <v>0</v>
      </c>
      <c r="H494" s="140">
        <v>0</v>
      </c>
      <c r="I494" s="140">
        <v>0</v>
      </c>
      <c r="J494" s="140">
        <f t="shared" si="7"/>
        <v>5</v>
      </c>
      <c r="K494" s="3"/>
    </row>
    <row r="495" spans="1:11" x14ac:dyDescent="0.3">
      <c r="A495" s="4" t="s">
        <v>902</v>
      </c>
      <c r="B495" s="138" t="s">
        <v>360</v>
      </c>
      <c r="C495" s="2" t="s">
        <v>202</v>
      </c>
      <c r="D495" s="2" t="s">
        <v>199</v>
      </c>
      <c r="E495" s="2" t="s">
        <v>428</v>
      </c>
      <c r="F495" s="139">
        <v>16</v>
      </c>
      <c r="G495" s="140">
        <v>2</v>
      </c>
      <c r="H495" s="140">
        <v>0</v>
      </c>
      <c r="I495" s="140">
        <v>0</v>
      </c>
      <c r="J495" s="140">
        <f t="shared" si="7"/>
        <v>18</v>
      </c>
      <c r="K495" s="3"/>
    </row>
    <row r="496" spans="1:11" x14ac:dyDescent="0.3">
      <c r="A496" s="4" t="s">
        <v>903</v>
      </c>
      <c r="B496" s="138" t="s">
        <v>363</v>
      </c>
      <c r="C496" s="2" t="s">
        <v>206</v>
      </c>
      <c r="D496" s="2" t="s">
        <v>189</v>
      </c>
      <c r="E496" s="2" t="s">
        <v>541</v>
      </c>
      <c r="F496" s="139">
        <v>3</v>
      </c>
      <c r="G496" s="140">
        <v>0</v>
      </c>
      <c r="H496" s="140">
        <v>0</v>
      </c>
      <c r="I496" s="140">
        <v>0</v>
      </c>
      <c r="J496" s="140">
        <f t="shared" si="7"/>
        <v>3</v>
      </c>
      <c r="K496" s="3"/>
    </row>
    <row r="497" spans="1:11" x14ac:dyDescent="0.3">
      <c r="A497" s="4" t="s">
        <v>904</v>
      </c>
      <c r="B497" s="138" t="s">
        <v>363</v>
      </c>
      <c r="C497" s="2" t="s">
        <v>206</v>
      </c>
      <c r="D497" s="2" t="s">
        <v>197</v>
      </c>
      <c r="E497" s="2" t="s">
        <v>637</v>
      </c>
      <c r="F497" s="139">
        <v>2</v>
      </c>
      <c r="G497" s="140">
        <v>0</v>
      </c>
      <c r="H497" s="140">
        <v>0</v>
      </c>
      <c r="I497" s="140">
        <v>0</v>
      </c>
      <c r="J497" s="140">
        <f t="shared" si="7"/>
        <v>2</v>
      </c>
      <c r="K497" s="3"/>
    </row>
    <row r="498" spans="1:11" x14ac:dyDescent="0.3">
      <c r="A498" s="4" t="s">
        <v>905</v>
      </c>
      <c r="B498" s="138" t="s">
        <v>360</v>
      </c>
      <c r="C498" s="2" t="s">
        <v>202</v>
      </c>
      <c r="D498" s="2" t="s">
        <v>204</v>
      </c>
      <c r="E498" s="2" t="s">
        <v>457</v>
      </c>
      <c r="F498" s="139">
        <v>3</v>
      </c>
      <c r="G498" s="140">
        <v>0</v>
      </c>
      <c r="H498" s="140">
        <v>0</v>
      </c>
      <c r="I498" s="140">
        <v>0</v>
      </c>
      <c r="J498" s="140">
        <f t="shared" si="7"/>
        <v>3</v>
      </c>
      <c r="K498" s="3"/>
    </row>
    <row r="499" spans="1:11" x14ac:dyDescent="0.3">
      <c r="A499" s="4" t="s">
        <v>906</v>
      </c>
      <c r="B499" s="138" t="s">
        <v>363</v>
      </c>
      <c r="C499" s="2" t="s">
        <v>206</v>
      </c>
      <c r="D499" s="2" t="s">
        <v>189</v>
      </c>
      <c r="E499" s="2" t="s">
        <v>397</v>
      </c>
      <c r="F499" s="139">
        <v>8</v>
      </c>
      <c r="G499" s="140">
        <v>0</v>
      </c>
      <c r="H499" s="140">
        <v>0</v>
      </c>
      <c r="I499" s="140">
        <v>0</v>
      </c>
      <c r="J499" s="140">
        <f t="shared" si="7"/>
        <v>8</v>
      </c>
      <c r="K499" s="3"/>
    </row>
    <row r="500" spans="1:11" x14ac:dyDescent="0.3">
      <c r="A500" s="4" t="s">
        <v>907</v>
      </c>
      <c r="B500" s="138" t="s">
        <v>363</v>
      </c>
      <c r="C500" s="2" t="s">
        <v>198</v>
      </c>
      <c r="D500" s="2" t="s">
        <v>199</v>
      </c>
      <c r="E500" s="2" t="s">
        <v>364</v>
      </c>
      <c r="F500" s="139">
        <v>2</v>
      </c>
      <c r="G500" s="140">
        <v>27</v>
      </c>
      <c r="H500" s="140">
        <v>0</v>
      </c>
      <c r="I500" s="140">
        <v>0</v>
      </c>
      <c r="J500" s="140">
        <f t="shared" si="7"/>
        <v>29</v>
      </c>
      <c r="K500" s="3"/>
    </row>
    <row r="501" spans="1:11" x14ac:dyDescent="0.3">
      <c r="A501" s="4" t="s">
        <v>908</v>
      </c>
      <c r="B501" s="138" t="s">
        <v>360</v>
      </c>
      <c r="C501" s="2" t="s">
        <v>202</v>
      </c>
      <c r="D501" s="2" t="s">
        <v>199</v>
      </c>
      <c r="E501" s="2" t="s">
        <v>459</v>
      </c>
      <c r="F501" s="139">
        <v>7</v>
      </c>
      <c r="G501" s="140">
        <v>0</v>
      </c>
      <c r="H501" s="140">
        <v>0</v>
      </c>
      <c r="I501" s="140">
        <v>0</v>
      </c>
      <c r="J501" s="140">
        <f t="shared" si="7"/>
        <v>7</v>
      </c>
      <c r="K501" s="3" t="s">
        <v>909</v>
      </c>
    </row>
    <row r="502" spans="1:11" x14ac:dyDescent="0.3">
      <c r="A502" s="4" t="s">
        <v>910</v>
      </c>
      <c r="B502" s="138" t="s">
        <v>360</v>
      </c>
      <c r="C502" s="2" t="s">
        <v>188</v>
      </c>
      <c r="D502" s="2" t="s">
        <v>189</v>
      </c>
      <c r="E502" s="2" t="s">
        <v>421</v>
      </c>
      <c r="F502" s="139">
        <v>7</v>
      </c>
      <c r="G502" s="140">
        <v>0</v>
      </c>
      <c r="H502" s="140">
        <v>0</v>
      </c>
      <c r="I502" s="140">
        <v>0</v>
      </c>
      <c r="J502" s="140">
        <f t="shared" si="7"/>
        <v>7</v>
      </c>
      <c r="K502" s="3"/>
    </row>
    <row r="503" spans="1:11" x14ac:dyDescent="0.3">
      <c r="A503" s="4" t="s">
        <v>911</v>
      </c>
      <c r="B503" s="138" t="s">
        <v>360</v>
      </c>
      <c r="C503" s="2" t="s">
        <v>209</v>
      </c>
      <c r="D503" s="2" t="s">
        <v>207</v>
      </c>
      <c r="E503" s="2" t="s">
        <v>374</v>
      </c>
      <c r="F503" s="139">
        <v>5</v>
      </c>
      <c r="G503" s="140">
        <v>0</v>
      </c>
      <c r="H503" s="140">
        <v>0</v>
      </c>
      <c r="I503" s="140">
        <v>0</v>
      </c>
      <c r="J503" s="140">
        <f t="shared" si="7"/>
        <v>5</v>
      </c>
      <c r="K503" s="3"/>
    </row>
    <row r="504" spans="1:11" x14ac:dyDescent="0.3">
      <c r="A504" s="4" t="s">
        <v>912</v>
      </c>
      <c r="B504" s="138" t="s">
        <v>360</v>
      </c>
      <c r="C504" s="2" t="s">
        <v>202</v>
      </c>
      <c r="D504" s="2" t="s">
        <v>199</v>
      </c>
      <c r="E504" s="2" t="s">
        <v>415</v>
      </c>
      <c r="F504" s="139">
        <v>17</v>
      </c>
      <c r="G504" s="140">
        <v>6</v>
      </c>
      <c r="H504" s="140">
        <v>0</v>
      </c>
      <c r="I504" s="140">
        <v>0</v>
      </c>
      <c r="J504" s="140">
        <f t="shared" si="7"/>
        <v>23</v>
      </c>
      <c r="K504" s="3"/>
    </row>
    <row r="505" spans="1:11" x14ac:dyDescent="0.3">
      <c r="A505" s="4" t="s">
        <v>913</v>
      </c>
      <c r="B505" s="138" t="s">
        <v>360</v>
      </c>
      <c r="C505" s="2" t="s">
        <v>188</v>
      </c>
      <c r="D505" s="2" t="s">
        <v>195</v>
      </c>
      <c r="E505" s="2" t="s">
        <v>447</v>
      </c>
      <c r="F505" s="139">
        <v>11</v>
      </c>
      <c r="G505" s="140">
        <v>0</v>
      </c>
      <c r="H505" s="140">
        <v>0</v>
      </c>
      <c r="I505" s="140">
        <v>6</v>
      </c>
      <c r="J505" s="140">
        <f t="shared" si="7"/>
        <v>17</v>
      </c>
      <c r="K505" s="3"/>
    </row>
    <row r="506" spans="1:11" x14ac:dyDescent="0.3">
      <c r="A506" s="4" t="s">
        <v>914</v>
      </c>
      <c r="B506" s="138" t="s">
        <v>360</v>
      </c>
      <c r="C506" s="2" t="s">
        <v>202</v>
      </c>
      <c r="D506" s="2" t="s">
        <v>204</v>
      </c>
      <c r="E506" s="2" t="s">
        <v>370</v>
      </c>
      <c r="F506" s="139">
        <v>0</v>
      </c>
      <c r="G506" s="140">
        <v>0</v>
      </c>
      <c r="H506" s="140">
        <v>0</v>
      </c>
      <c r="I506" s="140">
        <v>0</v>
      </c>
      <c r="J506" s="140">
        <f t="shared" si="7"/>
        <v>0</v>
      </c>
      <c r="K506" s="3"/>
    </row>
    <row r="507" spans="1:11" x14ac:dyDescent="0.3">
      <c r="A507" s="4" t="s">
        <v>915</v>
      </c>
      <c r="B507" s="138" t="s">
        <v>363</v>
      </c>
      <c r="C507" s="2" t="s">
        <v>206</v>
      </c>
      <c r="D507" s="2" t="s">
        <v>189</v>
      </c>
      <c r="E507" s="2" t="s">
        <v>541</v>
      </c>
      <c r="F507" s="139">
        <v>15</v>
      </c>
      <c r="G507" s="140">
        <v>0</v>
      </c>
      <c r="H507" s="140">
        <v>0</v>
      </c>
      <c r="I507" s="140">
        <v>1</v>
      </c>
      <c r="J507" s="140">
        <f t="shared" si="7"/>
        <v>16</v>
      </c>
      <c r="K507" s="3"/>
    </row>
    <row r="508" spans="1:11" x14ac:dyDescent="0.3">
      <c r="A508" s="4" t="s">
        <v>916</v>
      </c>
      <c r="B508" s="138" t="s">
        <v>363</v>
      </c>
      <c r="C508" s="2" t="s">
        <v>208</v>
      </c>
      <c r="D508" s="2" t="s">
        <v>197</v>
      </c>
      <c r="E508" s="2" t="s">
        <v>439</v>
      </c>
      <c r="F508" s="139">
        <v>6</v>
      </c>
      <c r="G508" s="140">
        <v>27</v>
      </c>
      <c r="H508" s="140">
        <v>0</v>
      </c>
      <c r="I508" s="140">
        <v>0</v>
      </c>
      <c r="J508" s="140">
        <f t="shared" si="7"/>
        <v>33</v>
      </c>
      <c r="K508" s="3"/>
    </row>
    <row r="509" spans="1:11" x14ac:dyDescent="0.3">
      <c r="A509" s="4" t="s">
        <v>917</v>
      </c>
      <c r="B509" s="138" t="s">
        <v>360</v>
      </c>
      <c r="C509" s="2" t="s">
        <v>202</v>
      </c>
      <c r="D509" s="2" t="s">
        <v>199</v>
      </c>
      <c r="E509" s="2" t="s">
        <v>454</v>
      </c>
      <c r="F509" s="139">
        <v>1</v>
      </c>
      <c r="G509" s="140">
        <v>0</v>
      </c>
      <c r="H509" s="140">
        <v>0</v>
      </c>
      <c r="I509" s="140">
        <v>0</v>
      </c>
      <c r="J509" s="140">
        <f t="shared" si="7"/>
        <v>1</v>
      </c>
      <c r="K509" s="3"/>
    </row>
    <row r="510" spans="1:11" x14ac:dyDescent="0.3">
      <c r="A510" s="4" t="s">
        <v>918</v>
      </c>
      <c r="B510" s="138" t="s">
        <v>360</v>
      </c>
      <c r="C510" s="2" t="s">
        <v>188</v>
      </c>
      <c r="D510" s="2" t="s">
        <v>196</v>
      </c>
      <c r="E510" s="2" t="s">
        <v>395</v>
      </c>
      <c r="F510" s="139">
        <v>0</v>
      </c>
      <c r="G510" s="140">
        <v>0</v>
      </c>
      <c r="H510" s="140">
        <v>0</v>
      </c>
      <c r="I510" s="140">
        <v>0</v>
      </c>
      <c r="J510" s="140">
        <f t="shared" si="7"/>
        <v>0</v>
      </c>
      <c r="K510" s="3"/>
    </row>
    <row r="511" spans="1:11" x14ac:dyDescent="0.3">
      <c r="A511" s="4" t="s">
        <v>919</v>
      </c>
      <c r="B511" s="138" t="s">
        <v>360</v>
      </c>
      <c r="C511" s="2" t="s">
        <v>188</v>
      </c>
      <c r="D511" s="2" t="s">
        <v>189</v>
      </c>
      <c r="E511" s="2" t="s">
        <v>421</v>
      </c>
      <c r="F511" s="139">
        <v>17</v>
      </c>
      <c r="G511" s="140">
        <v>0</v>
      </c>
      <c r="H511" s="140">
        <v>0</v>
      </c>
      <c r="I511" s="140">
        <v>0</v>
      </c>
      <c r="J511" s="140">
        <f t="shared" si="7"/>
        <v>17</v>
      </c>
      <c r="K511" s="3"/>
    </row>
    <row r="512" spans="1:11" x14ac:dyDescent="0.3">
      <c r="A512" s="4" t="s">
        <v>920</v>
      </c>
      <c r="B512" s="138" t="s">
        <v>360</v>
      </c>
      <c r="C512" s="2" t="s">
        <v>202</v>
      </c>
      <c r="D512" s="127" t="s">
        <v>203</v>
      </c>
      <c r="E512" s="2" t="s">
        <v>399</v>
      </c>
      <c r="F512" s="139">
        <v>5</v>
      </c>
      <c r="G512" s="140">
        <v>0</v>
      </c>
      <c r="H512" s="140">
        <v>0</v>
      </c>
      <c r="I512" s="140">
        <v>0</v>
      </c>
      <c r="J512" s="140">
        <f t="shared" si="7"/>
        <v>5</v>
      </c>
      <c r="K512" s="3"/>
    </row>
    <row r="513" spans="1:11" x14ac:dyDescent="0.3">
      <c r="A513" s="4" t="s">
        <v>921</v>
      </c>
      <c r="B513" s="138" t="s">
        <v>363</v>
      </c>
      <c r="C513" s="2" t="s">
        <v>198</v>
      </c>
      <c r="D513" s="2" t="s">
        <v>200</v>
      </c>
      <c r="E513" s="2" t="s">
        <v>372</v>
      </c>
      <c r="F513" s="139">
        <v>0</v>
      </c>
      <c r="G513" s="140">
        <v>0</v>
      </c>
      <c r="H513" s="140">
        <v>0</v>
      </c>
      <c r="I513" s="140">
        <v>0</v>
      </c>
      <c r="J513" s="140">
        <f t="shared" si="7"/>
        <v>0</v>
      </c>
      <c r="K513" s="3"/>
    </row>
    <row r="514" spans="1:11" x14ac:dyDescent="0.3">
      <c r="A514" s="4" t="s">
        <v>922</v>
      </c>
      <c r="B514" s="138" t="s">
        <v>363</v>
      </c>
      <c r="C514" s="2" t="s">
        <v>198</v>
      </c>
      <c r="D514" s="2" t="s">
        <v>199</v>
      </c>
      <c r="E514" s="2" t="s">
        <v>402</v>
      </c>
      <c r="F514" s="139">
        <v>17</v>
      </c>
      <c r="G514" s="140">
        <v>0</v>
      </c>
      <c r="H514" s="140">
        <v>0</v>
      </c>
      <c r="I514" s="140">
        <v>0</v>
      </c>
      <c r="J514" s="140">
        <f t="shared" si="7"/>
        <v>17</v>
      </c>
      <c r="K514" s="3"/>
    </row>
    <row r="515" spans="1:11" x14ac:dyDescent="0.3">
      <c r="A515" s="4" t="s">
        <v>923</v>
      </c>
      <c r="B515" s="138" t="s">
        <v>360</v>
      </c>
      <c r="C515" s="2" t="s">
        <v>202</v>
      </c>
      <c r="D515" s="2" t="s">
        <v>204</v>
      </c>
      <c r="E515" s="2" t="s">
        <v>366</v>
      </c>
      <c r="F515" s="139">
        <v>0</v>
      </c>
      <c r="G515" s="140">
        <v>0</v>
      </c>
      <c r="H515" s="140">
        <v>0</v>
      </c>
      <c r="I515" s="140">
        <v>0</v>
      </c>
      <c r="J515" s="140">
        <f t="shared" si="7"/>
        <v>0</v>
      </c>
      <c r="K515" s="3"/>
    </row>
    <row r="516" spans="1:11" x14ac:dyDescent="0.3">
      <c r="A516" s="4" t="s">
        <v>924</v>
      </c>
      <c r="B516" s="138" t="s">
        <v>360</v>
      </c>
      <c r="C516" s="2" t="s">
        <v>202</v>
      </c>
      <c r="D516" s="2" t="s">
        <v>204</v>
      </c>
      <c r="E516" s="2" t="s">
        <v>361</v>
      </c>
      <c r="F516" s="139">
        <v>11</v>
      </c>
      <c r="G516" s="140">
        <v>0</v>
      </c>
      <c r="H516" s="140">
        <v>0</v>
      </c>
      <c r="I516" s="140">
        <v>4</v>
      </c>
      <c r="J516" s="140">
        <f t="shared" si="7"/>
        <v>15</v>
      </c>
      <c r="K516" s="3"/>
    </row>
    <row r="517" spans="1:11" x14ac:dyDescent="0.3">
      <c r="A517" s="4" t="s">
        <v>925</v>
      </c>
      <c r="B517" s="138" t="s">
        <v>360</v>
      </c>
      <c r="C517" s="2" t="s">
        <v>202</v>
      </c>
      <c r="D517" s="2" t="s">
        <v>199</v>
      </c>
      <c r="E517" s="2" t="s">
        <v>459</v>
      </c>
      <c r="F517" s="139">
        <v>7</v>
      </c>
      <c r="G517" s="140">
        <v>0</v>
      </c>
      <c r="H517" s="140">
        <v>0</v>
      </c>
      <c r="I517" s="140">
        <v>0</v>
      </c>
      <c r="J517" s="140">
        <f t="shared" ref="J517:J580" si="8">SUM(F517:I517)</f>
        <v>7</v>
      </c>
      <c r="K517" s="3"/>
    </row>
    <row r="518" spans="1:11" x14ac:dyDescent="0.3">
      <c r="A518" s="4" t="s">
        <v>926</v>
      </c>
      <c r="B518" s="138" t="s">
        <v>360</v>
      </c>
      <c r="C518" s="2" t="s">
        <v>202</v>
      </c>
      <c r="D518" s="2" t="s">
        <v>200</v>
      </c>
      <c r="E518" s="2" t="s">
        <v>707</v>
      </c>
      <c r="F518" s="139">
        <v>0</v>
      </c>
      <c r="G518" s="140">
        <v>0</v>
      </c>
      <c r="H518" s="140">
        <v>0</v>
      </c>
      <c r="I518" s="140">
        <v>0</v>
      </c>
      <c r="J518" s="140">
        <f t="shared" si="8"/>
        <v>0</v>
      </c>
      <c r="K518" s="3"/>
    </row>
    <row r="519" spans="1:11" x14ac:dyDescent="0.3">
      <c r="A519" s="4" t="s">
        <v>927</v>
      </c>
      <c r="B519" s="138" t="s">
        <v>360</v>
      </c>
      <c r="C519" s="2" t="s">
        <v>188</v>
      </c>
      <c r="D519" s="2" t="s">
        <v>197</v>
      </c>
      <c r="E519" s="2" t="s">
        <v>862</v>
      </c>
      <c r="F519" s="139">
        <v>10</v>
      </c>
      <c r="G519" s="140">
        <v>0</v>
      </c>
      <c r="H519" s="140">
        <v>0</v>
      </c>
      <c r="I519" s="140">
        <v>0</v>
      </c>
      <c r="J519" s="140">
        <f t="shared" si="8"/>
        <v>10</v>
      </c>
      <c r="K519" s="3"/>
    </row>
    <row r="520" spans="1:11" x14ac:dyDescent="0.3">
      <c r="A520" s="4" t="s">
        <v>928</v>
      </c>
      <c r="B520" s="138" t="s">
        <v>363</v>
      </c>
      <c r="C520" s="2" t="s">
        <v>206</v>
      </c>
      <c r="D520" s="2" t="s">
        <v>189</v>
      </c>
      <c r="E520" s="2" t="s">
        <v>541</v>
      </c>
      <c r="F520" s="139">
        <v>14</v>
      </c>
      <c r="G520" s="140">
        <v>14</v>
      </c>
      <c r="H520" s="140">
        <v>1</v>
      </c>
      <c r="I520" s="140">
        <v>0</v>
      </c>
      <c r="J520" s="140">
        <f t="shared" si="8"/>
        <v>29</v>
      </c>
      <c r="K520" s="3"/>
    </row>
    <row r="521" spans="1:11" x14ac:dyDescent="0.3">
      <c r="A521" s="4" t="s">
        <v>929</v>
      </c>
      <c r="B521" s="138" t="s">
        <v>360</v>
      </c>
      <c r="C521" s="2" t="s">
        <v>202</v>
      </c>
      <c r="D521" s="2" t="s">
        <v>204</v>
      </c>
      <c r="E521" s="2" t="s">
        <v>361</v>
      </c>
      <c r="F521" s="139">
        <v>0</v>
      </c>
      <c r="G521" s="140">
        <v>4</v>
      </c>
      <c r="H521" s="140">
        <v>0</v>
      </c>
      <c r="I521" s="140">
        <v>0</v>
      </c>
      <c r="J521" s="140">
        <f t="shared" si="8"/>
        <v>4</v>
      </c>
      <c r="K521" s="3"/>
    </row>
    <row r="522" spans="1:11" x14ac:dyDescent="0.3">
      <c r="A522" s="4" t="s">
        <v>930</v>
      </c>
      <c r="B522" s="138" t="s">
        <v>360</v>
      </c>
      <c r="C522" s="2" t="s">
        <v>188</v>
      </c>
      <c r="D522" s="2" t="s">
        <v>196</v>
      </c>
      <c r="E522" s="2" t="s">
        <v>423</v>
      </c>
      <c r="F522" s="139">
        <v>3</v>
      </c>
      <c r="G522" s="140">
        <v>0</v>
      </c>
      <c r="H522" s="140">
        <v>0</v>
      </c>
      <c r="I522" s="140">
        <v>0</v>
      </c>
      <c r="J522" s="140">
        <f t="shared" si="8"/>
        <v>3</v>
      </c>
      <c r="K522" s="3"/>
    </row>
    <row r="523" spans="1:11" x14ac:dyDescent="0.3">
      <c r="A523" s="4" t="s">
        <v>931</v>
      </c>
      <c r="B523" s="138" t="s">
        <v>363</v>
      </c>
      <c r="C523" s="2" t="s">
        <v>198</v>
      </c>
      <c r="D523" s="2" t="s">
        <v>199</v>
      </c>
      <c r="E523" s="2" t="s">
        <v>380</v>
      </c>
      <c r="F523" s="139">
        <v>13</v>
      </c>
      <c r="G523" s="140">
        <v>2</v>
      </c>
      <c r="H523" s="140">
        <v>0</v>
      </c>
      <c r="I523" s="140">
        <v>0</v>
      </c>
      <c r="J523" s="140">
        <f t="shared" si="8"/>
        <v>15</v>
      </c>
      <c r="K523" s="3"/>
    </row>
    <row r="524" spans="1:11" x14ac:dyDescent="0.3">
      <c r="A524" s="4" t="s">
        <v>932</v>
      </c>
      <c r="B524" s="138" t="s">
        <v>363</v>
      </c>
      <c r="C524" s="2" t="s">
        <v>198</v>
      </c>
      <c r="D524" s="2" t="s">
        <v>197</v>
      </c>
      <c r="E524" s="2" t="s">
        <v>409</v>
      </c>
      <c r="F524" s="139">
        <v>13</v>
      </c>
      <c r="G524" s="140">
        <v>0</v>
      </c>
      <c r="H524" s="140">
        <v>0</v>
      </c>
      <c r="I524" s="140">
        <v>0</v>
      </c>
      <c r="J524" s="140">
        <f t="shared" si="8"/>
        <v>13</v>
      </c>
      <c r="K524" s="3"/>
    </row>
    <row r="525" spans="1:11" x14ac:dyDescent="0.3">
      <c r="A525" s="4" t="s">
        <v>590</v>
      </c>
      <c r="B525" s="138" t="s">
        <v>360</v>
      </c>
      <c r="C525" s="2" t="s">
        <v>202</v>
      </c>
      <c r="D525" s="2" t="s">
        <v>199</v>
      </c>
      <c r="E525" s="2" t="s">
        <v>454</v>
      </c>
      <c r="F525" s="139">
        <v>2</v>
      </c>
      <c r="G525" s="140">
        <v>0</v>
      </c>
      <c r="H525" s="140">
        <v>0</v>
      </c>
      <c r="I525" s="140">
        <v>0</v>
      </c>
      <c r="J525" s="140">
        <f t="shared" si="8"/>
        <v>2</v>
      </c>
      <c r="K525" s="3"/>
    </row>
    <row r="526" spans="1:11" x14ac:dyDescent="0.3">
      <c r="A526" s="4" t="s">
        <v>933</v>
      </c>
      <c r="B526" s="138" t="s">
        <v>478</v>
      </c>
      <c r="C526" s="127" t="s">
        <v>205</v>
      </c>
      <c r="D526" s="2" t="s">
        <v>196</v>
      </c>
      <c r="E526" s="2" t="s">
        <v>479</v>
      </c>
      <c r="F526" s="139">
        <v>3</v>
      </c>
      <c r="G526" s="140">
        <v>0</v>
      </c>
      <c r="H526" s="140">
        <v>0</v>
      </c>
      <c r="I526" s="140">
        <v>0</v>
      </c>
      <c r="J526" s="140">
        <f t="shared" si="8"/>
        <v>3</v>
      </c>
      <c r="K526" s="3"/>
    </row>
    <row r="527" spans="1:11" x14ac:dyDescent="0.3">
      <c r="A527" s="4" t="s">
        <v>934</v>
      </c>
      <c r="B527" s="138" t="s">
        <v>363</v>
      </c>
      <c r="C527" s="2" t="s">
        <v>198</v>
      </c>
      <c r="D527" s="2" t="s">
        <v>199</v>
      </c>
      <c r="E527" s="2" t="s">
        <v>402</v>
      </c>
      <c r="F527" s="139">
        <v>13</v>
      </c>
      <c r="G527" s="140">
        <v>0</v>
      </c>
      <c r="H527" s="140">
        <v>0</v>
      </c>
      <c r="I527" s="140">
        <v>4</v>
      </c>
      <c r="J527" s="140">
        <f t="shared" si="8"/>
        <v>17</v>
      </c>
      <c r="K527" s="3"/>
    </row>
    <row r="528" spans="1:11" x14ac:dyDescent="0.3">
      <c r="A528" s="4" t="s">
        <v>935</v>
      </c>
      <c r="B528" s="138" t="s">
        <v>360</v>
      </c>
      <c r="C528" s="2" t="s">
        <v>202</v>
      </c>
      <c r="D528" s="2" t="s">
        <v>199</v>
      </c>
      <c r="E528" s="2" t="s">
        <v>454</v>
      </c>
      <c r="F528" s="139">
        <v>6</v>
      </c>
      <c r="G528" s="140">
        <v>0</v>
      </c>
      <c r="H528" s="140">
        <v>0</v>
      </c>
      <c r="I528" s="140">
        <v>0</v>
      </c>
      <c r="J528" s="140">
        <f t="shared" si="8"/>
        <v>6</v>
      </c>
      <c r="K528" s="3"/>
    </row>
    <row r="529" spans="1:11" x14ac:dyDescent="0.3">
      <c r="A529" s="4" t="s">
        <v>936</v>
      </c>
      <c r="B529" s="138" t="s">
        <v>360</v>
      </c>
      <c r="C529" s="2" t="s">
        <v>202</v>
      </c>
      <c r="D529" s="2" t="s">
        <v>199</v>
      </c>
      <c r="E529" s="2" t="s">
        <v>473</v>
      </c>
      <c r="F529" s="139">
        <v>0</v>
      </c>
      <c r="G529" s="140">
        <v>0</v>
      </c>
      <c r="H529" s="140">
        <v>0</v>
      </c>
      <c r="I529" s="140">
        <v>0</v>
      </c>
      <c r="J529" s="140">
        <f t="shared" si="8"/>
        <v>0</v>
      </c>
      <c r="K529" s="3"/>
    </row>
    <row r="530" spans="1:11" x14ac:dyDescent="0.3">
      <c r="A530" s="4" t="s">
        <v>937</v>
      </c>
      <c r="B530" s="138" t="s">
        <v>363</v>
      </c>
      <c r="C530" s="2" t="s">
        <v>198</v>
      </c>
      <c r="D530" s="2" t="s">
        <v>199</v>
      </c>
      <c r="E530" s="2" t="s">
        <v>380</v>
      </c>
      <c r="F530" s="139">
        <v>0</v>
      </c>
      <c r="G530" s="140">
        <v>0</v>
      </c>
      <c r="H530" s="140">
        <v>0</v>
      </c>
      <c r="I530" s="140">
        <v>0</v>
      </c>
      <c r="J530" s="140">
        <f t="shared" si="8"/>
        <v>0</v>
      </c>
      <c r="K530" s="3"/>
    </row>
    <row r="531" spans="1:11" x14ac:dyDescent="0.3">
      <c r="A531" s="4" t="s">
        <v>938</v>
      </c>
      <c r="B531" s="138" t="s">
        <v>363</v>
      </c>
      <c r="C531" s="2" t="s">
        <v>198</v>
      </c>
      <c r="D531" s="2" t="s">
        <v>199</v>
      </c>
      <c r="E531" s="2" t="s">
        <v>364</v>
      </c>
      <c r="F531" s="139">
        <v>0</v>
      </c>
      <c r="G531" s="140">
        <v>0</v>
      </c>
      <c r="H531" s="140">
        <v>0</v>
      </c>
      <c r="I531" s="140">
        <v>0</v>
      </c>
      <c r="J531" s="140">
        <f t="shared" si="8"/>
        <v>0</v>
      </c>
      <c r="K531" s="3"/>
    </row>
    <row r="532" spans="1:11" x14ac:dyDescent="0.3">
      <c r="A532" s="4" t="s">
        <v>939</v>
      </c>
      <c r="B532" s="138" t="s">
        <v>363</v>
      </c>
      <c r="C532" s="2" t="s">
        <v>198</v>
      </c>
      <c r="D532" s="2" t="s">
        <v>199</v>
      </c>
      <c r="E532" s="2" t="s">
        <v>364</v>
      </c>
      <c r="F532" s="139">
        <v>0</v>
      </c>
      <c r="G532" s="140">
        <v>0</v>
      </c>
      <c r="H532" s="140">
        <v>0</v>
      </c>
      <c r="I532" s="140">
        <v>0</v>
      </c>
      <c r="J532" s="140">
        <f t="shared" si="8"/>
        <v>0</v>
      </c>
      <c r="K532" s="3"/>
    </row>
    <row r="533" spans="1:11" x14ac:dyDescent="0.3">
      <c r="A533" s="4" t="s">
        <v>940</v>
      </c>
      <c r="B533" s="138" t="s">
        <v>363</v>
      </c>
      <c r="C533" s="2" t="s">
        <v>198</v>
      </c>
      <c r="D533" s="2" t="s">
        <v>200</v>
      </c>
      <c r="E533" s="2" t="s">
        <v>450</v>
      </c>
      <c r="F533" s="139">
        <v>1</v>
      </c>
      <c r="G533" s="140">
        <v>12</v>
      </c>
      <c r="H533" s="140">
        <v>0</v>
      </c>
      <c r="I533" s="140">
        <v>0</v>
      </c>
      <c r="J533" s="140">
        <f t="shared" si="8"/>
        <v>13</v>
      </c>
      <c r="K533" s="3"/>
    </row>
    <row r="534" spans="1:11" x14ac:dyDescent="0.3">
      <c r="A534" s="4" t="s">
        <v>941</v>
      </c>
      <c r="B534" s="138" t="s">
        <v>360</v>
      </c>
      <c r="C534" s="2" t="s">
        <v>202</v>
      </c>
      <c r="D534" s="2" t="s">
        <v>204</v>
      </c>
      <c r="E534" s="2" t="s">
        <v>471</v>
      </c>
      <c r="F534" s="139">
        <v>14</v>
      </c>
      <c r="G534" s="140">
        <v>0</v>
      </c>
      <c r="H534" s="140">
        <v>0</v>
      </c>
      <c r="I534" s="140">
        <v>7</v>
      </c>
      <c r="J534" s="140">
        <f t="shared" si="8"/>
        <v>21</v>
      </c>
      <c r="K534" s="3"/>
    </row>
    <row r="535" spans="1:11" x14ac:dyDescent="0.3">
      <c r="A535" s="4" t="s">
        <v>942</v>
      </c>
      <c r="B535" s="138" t="s">
        <v>363</v>
      </c>
      <c r="C535" s="2" t="s">
        <v>198</v>
      </c>
      <c r="D535" s="2" t="s">
        <v>197</v>
      </c>
      <c r="E535" s="2" t="s">
        <v>409</v>
      </c>
      <c r="F535" s="139">
        <v>3</v>
      </c>
      <c r="G535" s="140">
        <v>0</v>
      </c>
      <c r="H535" s="140">
        <v>0</v>
      </c>
      <c r="I535" s="140">
        <v>0</v>
      </c>
      <c r="J535" s="140">
        <f t="shared" si="8"/>
        <v>3</v>
      </c>
      <c r="K535" s="3"/>
    </row>
    <row r="536" spans="1:11" x14ac:dyDescent="0.3">
      <c r="A536" s="4" t="s">
        <v>943</v>
      </c>
      <c r="B536" s="138" t="s">
        <v>360</v>
      </c>
      <c r="C536" s="2" t="s">
        <v>202</v>
      </c>
      <c r="D536" s="2" t="s">
        <v>199</v>
      </c>
      <c r="E536" s="2" t="s">
        <v>378</v>
      </c>
      <c r="F536" s="139">
        <v>14</v>
      </c>
      <c r="G536" s="140">
        <v>0</v>
      </c>
      <c r="H536" s="140">
        <v>0</v>
      </c>
      <c r="I536" s="140">
        <v>2</v>
      </c>
      <c r="J536" s="140">
        <f t="shared" si="8"/>
        <v>16</v>
      </c>
      <c r="K536" s="3"/>
    </row>
    <row r="537" spans="1:11" x14ac:dyDescent="0.3">
      <c r="A537" s="4" t="s">
        <v>944</v>
      </c>
      <c r="B537" s="138" t="s">
        <v>360</v>
      </c>
      <c r="C537" s="2" t="s">
        <v>209</v>
      </c>
      <c r="D537" s="2" t="s">
        <v>207</v>
      </c>
      <c r="E537" s="2" t="s">
        <v>382</v>
      </c>
      <c r="F537" s="139">
        <v>0</v>
      </c>
      <c r="G537" s="140">
        <v>0</v>
      </c>
      <c r="H537" s="140">
        <v>0</v>
      </c>
      <c r="I537" s="140">
        <v>0</v>
      </c>
      <c r="J537" s="140">
        <f t="shared" si="8"/>
        <v>0</v>
      </c>
      <c r="K537" s="3"/>
    </row>
    <row r="538" spans="1:11" x14ac:dyDescent="0.3">
      <c r="A538" s="4" t="s">
        <v>945</v>
      </c>
      <c r="B538" s="138" t="s">
        <v>363</v>
      </c>
      <c r="C538" s="2" t="s">
        <v>208</v>
      </c>
      <c r="D538" s="2" t="s">
        <v>197</v>
      </c>
      <c r="E538" s="2" t="s">
        <v>439</v>
      </c>
      <c r="F538" s="139">
        <v>9</v>
      </c>
      <c r="G538" s="140">
        <v>0</v>
      </c>
      <c r="H538" s="140">
        <v>0</v>
      </c>
      <c r="I538" s="140">
        <v>0</v>
      </c>
      <c r="J538" s="140">
        <f t="shared" si="8"/>
        <v>9</v>
      </c>
      <c r="K538" s="3"/>
    </row>
    <row r="539" spans="1:11" x14ac:dyDescent="0.3">
      <c r="A539" s="4" t="s">
        <v>946</v>
      </c>
      <c r="B539" s="138" t="s">
        <v>360</v>
      </c>
      <c r="C539" s="2" t="s">
        <v>188</v>
      </c>
      <c r="D539" s="2" t="s">
        <v>196</v>
      </c>
      <c r="E539" s="2" t="s">
        <v>423</v>
      </c>
      <c r="F539" s="139">
        <v>1</v>
      </c>
      <c r="G539" s="140">
        <v>0</v>
      </c>
      <c r="H539" s="140">
        <v>0</v>
      </c>
      <c r="I539" s="140">
        <v>0</v>
      </c>
      <c r="J539" s="140">
        <f t="shared" si="8"/>
        <v>1</v>
      </c>
      <c r="K539" s="3"/>
    </row>
    <row r="540" spans="1:11" x14ac:dyDescent="0.3">
      <c r="A540" s="4" t="s">
        <v>947</v>
      </c>
      <c r="B540" s="138" t="s">
        <v>478</v>
      </c>
      <c r="C540" s="127" t="s">
        <v>205</v>
      </c>
      <c r="D540" s="2" t="s">
        <v>189</v>
      </c>
      <c r="E540" s="2" t="s">
        <v>498</v>
      </c>
      <c r="F540" s="139">
        <v>0</v>
      </c>
      <c r="G540" s="140">
        <v>3</v>
      </c>
      <c r="H540" s="140">
        <v>0</v>
      </c>
      <c r="I540" s="140">
        <v>0</v>
      </c>
      <c r="J540" s="140">
        <f t="shared" si="8"/>
        <v>3</v>
      </c>
      <c r="K540" s="3"/>
    </row>
    <row r="541" spans="1:11" x14ac:dyDescent="0.3">
      <c r="A541" s="4" t="s">
        <v>948</v>
      </c>
      <c r="B541" s="138" t="s">
        <v>363</v>
      </c>
      <c r="C541" s="2" t="s">
        <v>198</v>
      </c>
      <c r="D541" s="2" t="s">
        <v>197</v>
      </c>
      <c r="E541" s="2" t="s">
        <v>409</v>
      </c>
      <c r="F541" s="139">
        <v>3</v>
      </c>
      <c r="G541" s="140">
        <v>16</v>
      </c>
      <c r="H541" s="140">
        <v>0</v>
      </c>
      <c r="I541" s="140">
        <v>0</v>
      </c>
      <c r="J541" s="140">
        <f t="shared" si="8"/>
        <v>19</v>
      </c>
      <c r="K541" s="3"/>
    </row>
    <row r="542" spans="1:11" x14ac:dyDescent="0.3">
      <c r="A542" s="4" t="s">
        <v>949</v>
      </c>
      <c r="B542" s="138" t="s">
        <v>363</v>
      </c>
      <c r="C542" s="2" t="s">
        <v>198</v>
      </c>
      <c r="D542" s="2" t="s">
        <v>199</v>
      </c>
      <c r="E542" s="2" t="s">
        <v>380</v>
      </c>
      <c r="F542" s="139">
        <v>1</v>
      </c>
      <c r="G542" s="140">
        <v>0</v>
      </c>
      <c r="H542" s="140">
        <v>0</v>
      </c>
      <c r="I542" s="140">
        <v>0</v>
      </c>
      <c r="J542" s="140">
        <f t="shared" si="8"/>
        <v>1</v>
      </c>
      <c r="K542" s="3"/>
    </row>
    <row r="543" spans="1:11" x14ac:dyDescent="0.3">
      <c r="A543" s="4" t="s">
        <v>950</v>
      </c>
      <c r="B543" s="138" t="s">
        <v>363</v>
      </c>
      <c r="C543" s="2" t="s">
        <v>208</v>
      </c>
      <c r="D543" s="2" t="s">
        <v>195</v>
      </c>
      <c r="E543" s="2" t="s">
        <v>500</v>
      </c>
      <c r="F543" s="139">
        <v>3</v>
      </c>
      <c r="G543" s="140">
        <v>0</v>
      </c>
      <c r="H543" s="140">
        <v>0</v>
      </c>
      <c r="I543" s="140">
        <v>0</v>
      </c>
      <c r="J543" s="140">
        <f t="shared" si="8"/>
        <v>3</v>
      </c>
      <c r="K543" s="3"/>
    </row>
    <row r="544" spans="1:11" x14ac:dyDescent="0.3">
      <c r="A544" s="4" t="s">
        <v>951</v>
      </c>
      <c r="B544" s="138" t="s">
        <v>363</v>
      </c>
      <c r="C544" s="2" t="s">
        <v>198</v>
      </c>
      <c r="D544" s="2" t="s">
        <v>200</v>
      </c>
      <c r="E544" s="2" t="s">
        <v>450</v>
      </c>
      <c r="F544" s="139">
        <v>5</v>
      </c>
      <c r="G544" s="140">
        <v>0</v>
      </c>
      <c r="H544" s="140">
        <v>0</v>
      </c>
      <c r="I544" s="140">
        <v>0</v>
      </c>
      <c r="J544" s="140">
        <f t="shared" si="8"/>
        <v>5</v>
      </c>
      <c r="K544" s="3"/>
    </row>
    <row r="545" spans="1:11" x14ac:dyDescent="0.3">
      <c r="A545" s="4" t="s">
        <v>952</v>
      </c>
      <c r="B545" s="138" t="s">
        <v>360</v>
      </c>
      <c r="C545" s="2" t="s">
        <v>188</v>
      </c>
      <c r="D545" s="2" t="s">
        <v>195</v>
      </c>
      <c r="E545" s="2" t="s">
        <v>447</v>
      </c>
      <c r="F545" s="139">
        <v>1</v>
      </c>
      <c r="G545" s="140">
        <v>0</v>
      </c>
      <c r="H545" s="140">
        <v>0</v>
      </c>
      <c r="I545" s="140">
        <v>0</v>
      </c>
      <c r="J545" s="140">
        <f t="shared" si="8"/>
        <v>1</v>
      </c>
      <c r="K545" s="3"/>
    </row>
    <row r="546" spans="1:11" x14ac:dyDescent="0.3">
      <c r="A546" s="4" t="s">
        <v>953</v>
      </c>
      <c r="B546" s="138" t="s">
        <v>360</v>
      </c>
      <c r="C546" s="2" t="s">
        <v>202</v>
      </c>
      <c r="D546" s="2" t="s">
        <v>204</v>
      </c>
      <c r="E546" s="2" t="s">
        <v>538</v>
      </c>
      <c r="F546" s="139">
        <v>16</v>
      </c>
      <c r="G546" s="140">
        <v>0</v>
      </c>
      <c r="H546" s="140">
        <v>0</v>
      </c>
      <c r="I546" s="140">
        <v>4</v>
      </c>
      <c r="J546" s="140">
        <f t="shared" si="8"/>
        <v>20</v>
      </c>
      <c r="K546" s="3"/>
    </row>
    <row r="547" spans="1:11" x14ac:dyDescent="0.3">
      <c r="A547" s="4" t="s">
        <v>954</v>
      </c>
      <c r="B547" s="138" t="s">
        <v>363</v>
      </c>
      <c r="C547" s="2" t="s">
        <v>206</v>
      </c>
      <c r="D547" s="2" t="s">
        <v>197</v>
      </c>
      <c r="E547" s="2" t="s">
        <v>637</v>
      </c>
      <c r="F547" s="139">
        <v>0</v>
      </c>
      <c r="G547" s="140">
        <v>0</v>
      </c>
      <c r="H547" s="140">
        <v>0</v>
      </c>
      <c r="I547" s="140">
        <v>0</v>
      </c>
      <c r="J547" s="140">
        <f t="shared" si="8"/>
        <v>0</v>
      </c>
      <c r="K547" s="3"/>
    </row>
    <row r="548" spans="1:11" x14ac:dyDescent="0.3">
      <c r="A548" s="4" t="s">
        <v>955</v>
      </c>
      <c r="B548" s="138" t="s">
        <v>478</v>
      </c>
      <c r="C548" s="127" t="s">
        <v>205</v>
      </c>
      <c r="D548" s="2" t="s">
        <v>189</v>
      </c>
      <c r="E548" s="2" t="s">
        <v>498</v>
      </c>
      <c r="F548" s="139">
        <v>4</v>
      </c>
      <c r="G548" s="140">
        <v>0</v>
      </c>
      <c r="H548" s="140">
        <v>0</v>
      </c>
      <c r="I548" s="140">
        <v>0</v>
      </c>
      <c r="J548" s="140">
        <f t="shared" si="8"/>
        <v>4</v>
      </c>
      <c r="K548" s="3"/>
    </row>
    <row r="549" spans="1:11" x14ac:dyDescent="0.3">
      <c r="A549" s="4" t="s">
        <v>956</v>
      </c>
      <c r="B549" s="138" t="s">
        <v>360</v>
      </c>
      <c r="C549" s="2" t="s">
        <v>202</v>
      </c>
      <c r="D549" s="2" t="s">
        <v>204</v>
      </c>
      <c r="E549" s="2" t="s">
        <v>419</v>
      </c>
      <c r="F549" s="139">
        <v>1</v>
      </c>
      <c r="G549" s="140">
        <v>0</v>
      </c>
      <c r="H549" s="140">
        <v>0</v>
      </c>
      <c r="I549" s="140">
        <v>0</v>
      </c>
      <c r="J549" s="140">
        <f t="shared" si="8"/>
        <v>1</v>
      </c>
      <c r="K549" s="3"/>
    </row>
    <row r="550" spans="1:11" x14ac:dyDescent="0.3">
      <c r="A550" s="4" t="s">
        <v>957</v>
      </c>
      <c r="B550" s="138" t="s">
        <v>360</v>
      </c>
      <c r="C550" s="2" t="s">
        <v>202</v>
      </c>
      <c r="D550" s="2" t="s">
        <v>199</v>
      </c>
      <c r="E550" s="2" t="s">
        <v>415</v>
      </c>
      <c r="F550" s="139">
        <v>1</v>
      </c>
      <c r="G550" s="140">
        <v>0</v>
      </c>
      <c r="H550" s="140">
        <v>0</v>
      </c>
      <c r="I550" s="140">
        <v>0</v>
      </c>
      <c r="J550" s="140">
        <f t="shared" si="8"/>
        <v>1</v>
      </c>
      <c r="K550" s="3"/>
    </row>
    <row r="551" spans="1:11" x14ac:dyDescent="0.3">
      <c r="A551" s="4" t="s">
        <v>958</v>
      </c>
      <c r="B551" s="138" t="s">
        <v>360</v>
      </c>
      <c r="C551" s="2" t="s">
        <v>202</v>
      </c>
      <c r="D551" s="2" t="s">
        <v>204</v>
      </c>
      <c r="E551" s="2" t="s">
        <v>361</v>
      </c>
      <c r="F551" s="139">
        <v>0</v>
      </c>
      <c r="G551" s="140">
        <v>9</v>
      </c>
      <c r="H551" s="140">
        <v>0</v>
      </c>
      <c r="I551" s="140">
        <v>0</v>
      </c>
      <c r="J551" s="140">
        <f t="shared" si="8"/>
        <v>9</v>
      </c>
      <c r="K551" s="3"/>
    </row>
    <row r="552" spans="1:11" x14ac:dyDescent="0.3">
      <c r="A552" s="4" t="s">
        <v>959</v>
      </c>
      <c r="B552" s="138" t="s">
        <v>363</v>
      </c>
      <c r="C552" s="2" t="s">
        <v>198</v>
      </c>
      <c r="D552" s="2" t="s">
        <v>200</v>
      </c>
      <c r="E552" s="2" t="s">
        <v>372</v>
      </c>
      <c r="F552" s="139">
        <v>2</v>
      </c>
      <c r="G552" s="140">
        <v>0</v>
      </c>
      <c r="H552" s="140">
        <v>0</v>
      </c>
      <c r="I552" s="140">
        <v>0</v>
      </c>
      <c r="J552" s="140">
        <f t="shared" si="8"/>
        <v>2</v>
      </c>
      <c r="K552" s="3"/>
    </row>
    <row r="553" spans="1:11" x14ac:dyDescent="0.3">
      <c r="A553" s="4" t="s">
        <v>960</v>
      </c>
      <c r="B553" s="138" t="s">
        <v>360</v>
      </c>
      <c r="C553" s="2" t="s">
        <v>202</v>
      </c>
      <c r="D553" s="2" t="s">
        <v>199</v>
      </c>
      <c r="E553" s="2" t="s">
        <v>459</v>
      </c>
      <c r="F553" s="139">
        <v>3</v>
      </c>
      <c r="G553" s="140">
        <v>0</v>
      </c>
      <c r="H553" s="140">
        <v>0</v>
      </c>
      <c r="I553" s="140">
        <v>0</v>
      </c>
      <c r="J553" s="140">
        <f t="shared" si="8"/>
        <v>3</v>
      </c>
      <c r="K553" s="3"/>
    </row>
    <row r="554" spans="1:11" x14ac:dyDescent="0.3">
      <c r="A554" s="4" t="s">
        <v>961</v>
      </c>
      <c r="B554" s="138" t="s">
        <v>360</v>
      </c>
      <c r="C554" s="2" t="s">
        <v>202</v>
      </c>
      <c r="D554" s="2" t="s">
        <v>199</v>
      </c>
      <c r="E554" s="2" t="s">
        <v>415</v>
      </c>
      <c r="F554" s="139">
        <v>9</v>
      </c>
      <c r="G554" s="140">
        <v>0</v>
      </c>
      <c r="H554" s="140">
        <v>0</v>
      </c>
      <c r="I554" s="140">
        <v>0</v>
      </c>
      <c r="J554" s="140">
        <f t="shared" si="8"/>
        <v>9</v>
      </c>
      <c r="K554" s="3"/>
    </row>
    <row r="555" spans="1:11" x14ac:dyDescent="0.3">
      <c r="A555" s="4" t="s">
        <v>962</v>
      </c>
      <c r="B555" s="138" t="s">
        <v>363</v>
      </c>
      <c r="C555" s="2" t="s">
        <v>206</v>
      </c>
      <c r="D555" s="2" t="s">
        <v>189</v>
      </c>
      <c r="E555" s="2" t="s">
        <v>541</v>
      </c>
      <c r="F555" s="139">
        <v>3</v>
      </c>
      <c r="G555" s="140">
        <v>0</v>
      </c>
      <c r="H555" s="140">
        <v>0</v>
      </c>
      <c r="I555" s="140">
        <v>0</v>
      </c>
      <c r="J555" s="140">
        <f t="shared" si="8"/>
        <v>3</v>
      </c>
      <c r="K555" s="3"/>
    </row>
    <row r="556" spans="1:11" x14ac:dyDescent="0.3">
      <c r="A556" s="4" t="s">
        <v>963</v>
      </c>
      <c r="B556" s="138" t="s">
        <v>360</v>
      </c>
      <c r="C556" s="2" t="s">
        <v>188</v>
      </c>
      <c r="D556" s="2" t="s">
        <v>194</v>
      </c>
      <c r="E556" s="2" t="s">
        <v>488</v>
      </c>
      <c r="F556" s="139">
        <v>0</v>
      </c>
      <c r="G556" s="140">
        <v>12</v>
      </c>
      <c r="H556" s="140">
        <v>0</v>
      </c>
      <c r="I556" s="140">
        <v>0</v>
      </c>
      <c r="J556" s="140">
        <f t="shared" si="8"/>
        <v>12</v>
      </c>
      <c r="K556" s="3"/>
    </row>
    <row r="557" spans="1:11" x14ac:dyDescent="0.3">
      <c r="A557" s="4" t="s">
        <v>964</v>
      </c>
      <c r="B557" s="138" t="s">
        <v>363</v>
      </c>
      <c r="C557" s="2" t="s">
        <v>206</v>
      </c>
      <c r="D557" s="2" t="s">
        <v>189</v>
      </c>
      <c r="E557" s="2" t="s">
        <v>541</v>
      </c>
      <c r="F557" s="139">
        <v>11</v>
      </c>
      <c r="G557" s="140">
        <v>0</v>
      </c>
      <c r="H557" s="140">
        <v>0</v>
      </c>
      <c r="I557" s="140">
        <v>0</v>
      </c>
      <c r="J557" s="140">
        <f t="shared" si="8"/>
        <v>11</v>
      </c>
      <c r="K557" s="3"/>
    </row>
    <row r="558" spans="1:11" x14ac:dyDescent="0.3">
      <c r="A558" s="4" t="s">
        <v>965</v>
      </c>
      <c r="B558" s="138" t="s">
        <v>360</v>
      </c>
      <c r="C558" s="2" t="s">
        <v>202</v>
      </c>
      <c r="D558" s="2" t="s">
        <v>199</v>
      </c>
      <c r="E558" s="2" t="s">
        <v>393</v>
      </c>
      <c r="F558" s="139">
        <v>1</v>
      </c>
      <c r="G558" s="140">
        <v>0</v>
      </c>
      <c r="H558" s="140">
        <v>0</v>
      </c>
      <c r="I558" s="140">
        <v>0</v>
      </c>
      <c r="J558" s="140">
        <f t="shared" si="8"/>
        <v>1</v>
      </c>
      <c r="K558" s="3"/>
    </row>
    <row r="559" spans="1:11" x14ac:dyDescent="0.3">
      <c r="A559" s="4" t="s">
        <v>966</v>
      </c>
      <c r="B559" s="138" t="s">
        <v>360</v>
      </c>
      <c r="C559" s="2" t="s">
        <v>188</v>
      </c>
      <c r="D559" s="2" t="s">
        <v>195</v>
      </c>
      <c r="E559" s="2" t="s">
        <v>447</v>
      </c>
      <c r="F559" s="139">
        <v>3</v>
      </c>
      <c r="G559" s="140">
        <v>0</v>
      </c>
      <c r="H559" s="140">
        <v>0</v>
      </c>
      <c r="I559" s="140">
        <v>0</v>
      </c>
      <c r="J559" s="140">
        <f t="shared" si="8"/>
        <v>3</v>
      </c>
      <c r="K559" s="3"/>
    </row>
    <row r="560" spans="1:11" x14ac:dyDescent="0.3">
      <c r="A560" s="4" t="s">
        <v>967</v>
      </c>
      <c r="B560" s="138" t="s">
        <v>360</v>
      </c>
      <c r="C560" s="2" t="s">
        <v>188</v>
      </c>
      <c r="D560" s="2" t="s">
        <v>196</v>
      </c>
      <c r="E560" s="2" t="s">
        <v>423</v>
      </c>
      <c r="F560" s="139">
        <v>16</v>
      </c>
      <c r="G560" s="140">
        <v>0</v>
      </c>
      <c r="H560" s="140">
        <v>0</v>
      </c>
      <c r="I560" s="140">
        <v>0</v>
      </c>
      <c r="J560" s="140">
        <f t="shared" si="8"/>
        <v>16</v>
      </c>
      <c r="K560" s="3"/>
    </row>
    <row r="561" spans="1:11" x14ac:dyDescent="0.3">
      <c r="A561" s="4" t="s">
        <v>968</v>
      </c>
      <c r="B561" s="138" t="s">
        <v>360</v>
      </c>
      <c r="C561" s="2" t="s">
        <v>202</v>
      </c>
      <c r="D561" s="2" t="s">
        <v>199</v>
      </c>
      <c r="E561" s="2" t="s">
        <v>393</v>
      </c>
      <c r="F561" s="139">
        <v>16</v>
      </c>
      <c r="G561" s="140">
        <v>0</v>
      </c>
      <c r="H561" s="140">
        <v>0</v>
      </c>
      <c r="I561" s="140">
        <v>0</v>
      </c>
      <c r="J561" s="140">
        <f t="shared" si="8"/>
        <v>16</v>
      </c>
      <c r="K561" s="3"/>
    </row>
    <row r="562" spans="1:11" x14ac:dyDescent="0.3">
      <c r="A562" s="4" t="s">
        <v>969</v>
      </c>
      <c r="B562" s="138" t="s">
        <v>360</v>
      </c>
      <c r="C562" s="2" t="s">
        <v>202</v>
      </c>
      <c r="D562" s="2" t="s">
        <v>199</v>
      </c>
      <c r="E562" s="2" t="s">
        <v>428</v>
      </c>
      <c r="F562" s="139">
        <v>6</v>
      </c>
      <c r="G562" s="140">
        <v>0</v>
      </c>
      <c r="H562" s="140">
        <v>0</v>
      </c>
      <c r="I562" s="140">
        <v>0</v>
      </c>
      <c r="J562" s="140">
        <f t="shared" si="8"/>
        <v>6</v>
      </c>
      <c r="K562" s="3"/>
    </row>
    <row r="563" spans="1:11" x14ac:dyDescent="0.3">
      <c r="A563" s="4" t="s">
        <v>970</v>
      </c>
      <c r="B563" s="138" t="s">
        <v>360</v>
      </c>
      <c r="C563" s="2" t="s">
        <v>202</v>
      </c>
      <c r="D563" s="127" t="s">
        <v>203</v>
      </c>
      <c r="E563" s="2" t="s">
        <v>399</v>
      </c>
      <c r="F563" s="139">
        <v>3</v>
      </c>
      <c r="G563" s="140">
        <v>0</v>
      </c>
      <c r="H563" s="140">
        <v>0</v>
      </c>
      <c r="I563" s="140">
        <v>0</v>
      </c>
      <c r="J563" s="140">
        <f t="shared" si="8"/>
        <v>3</v>
      </c>
      <c r="K563" s="3"/>
    </row>
    <row r="564" spans="1:11" x14ac:dyDescent="0.3">
      <c r="A564" s="4" t="s">
        <v>971</v>
      </c>
      <c r="B564" s="138" t="s">
        <v>360</v>
      </c>
      <c r="C564" s="2" t="s">
        <v>202</v>
      </c>
      <c r="D564" s="2" t="s">
        <v>204</v>
      </c>
      <c r="E564" s="2" t="s">
        <v>412</v>
      </c>
      <c r="F564" s="139">
        <v>12</v>
      </c>
      <c r="G564" s="140">
        <v>0</v>
      </c>
      <c r="H564" s="140">
        <v>0</v>
      </c>
      <c r="I564" s="140">
        <v>3</v>
      </c>
      <c r="J564" s="140">
        <f t="shared" si="8"/>
        <v>15</v>
      </c>
      <c r="K564" s="3"/>
    </row>
    <row r="565" spans="1:11" x14ac:dyDescent="0.3">
      <c r="A565" s="4" t="s">
        <v>972</v>
      </c>
      <c r="B565" s="138" t="s">
        <v>478</v>
      </c>
      <c r="C565" s="127" t="s">
        <v>205</v>
      </c>
      <c r="D565" s="2" t="s">
        <v>196</v>
      </c>
      <c r="E565" s="2" t="s">
        <v>479</v>
      </c>
      <c r="F565" s="139">
        <v>0</v>
      </c>
      <c r="G565" s="140">
        <v>0</v>
      </c>
      <c r="H565" s="140">
        <v>0</v>
      </c>
      <c r="I565" s="140">
        <v>0</v>
      </c>
      <c r="J565" s="140">
        <f t="shared" si="8"/>
        <v>0</v>
      </c>
      <c r="K565" s="3"/>
    </row>
    <row r="566" spans="1:11" x14ac:dyDescent="0.3">
      <c r="A566" s="4" t="s">
        <v>973</v>
      </c>
      <c r="B566" s="138" t="s">
        <v>363</v>
      </c>
      <c r="C566" s="2" t="s">
        <v>208</v>
      </c>
      <c r="D566" s="2" t="s">
        <v>195</v>
      </c>
      <c r="E566" s="2" t="s">
        <v>500</v>
      </c>
      <c r="F566" s="139">
        <v>8</v>
      </c>
      <c r="G566" s="140">
        <v>0</v>
      </c>
      <c r="H566" s="140">
        <v>0</v>
      </c>
      <c r="I566" s="140">
        <v>0</v>
      </c>
      <c r="J566" s="140">
        <f t="shared" si="8"/>
        <v>8</v>
      </c>
      <c r="K566" s="3"/>
    </row>
    <row r="567" spans="1:11" x14ac:dyDescent="0.3">
      <c r="A567" s="4" t="s">
        <v>974</v>
      </c>
      <c r="B567" s="138" t="s">
        <v>363</v>
      </c>
      <c r="C567" s="2" t="s">
        <v>206</v>
      </c>
      <c r="D567" s="2" t="s">
        <v>189</v>
      </c>
      <c r="E567" s="2" t="s">
        <v>541</v>
      </c>
      <c r="F567" s="139">
        <v>0</v>
      </c>
      <c r="G567" s="140">
        <v>0</v>
      </c>
      <c r="H567" s="140">
        <v>0</v>
      </c>
      <c r="I567" s="140">
        <v>0</v>
      </c>
      <c r="J567" s="140">
        <f t="shared" si="8"/>
        <v>0</v>
      </c>
      <c r="K567" s="3"/>
    </row>
    <row r="568" spans="1:11" x14ac:dyDescent="0.3">
      <c r="A568" s="4" t="s">
        <v>975</v>
      </c>
      <c r="B568" s="138" t="s">
        <v>363</v>
      </c>
      <c r="C568" s="2" t="s">
        <v>198</v>
      </c>
      <c r="D568" s="2" t="s">
        <v>200</v>
      </c>
      <c r="E568" s="2" t="s">
        <v>450</v>
      </c>
      <c r="F568" s="139">
        <v>9</v>
      </c>
      <c r="G568" s="140">
        <v>0</v>
      </c>
      <c r="H568" s="140">
        <v>0</v>
      </c>
      <c r="I568" s="140">
        <v>0</v>
      </c>
      <c r="J568" s="140">
        <f t="shared" si="8"/>
        <v>9</v>
      </c>
      <c r="K568" s="3"/>
    </row>
    <row r="569" spans="1:11" x14ac:dyDescent="0.3">
      <c r="A569" s="4" t="s">
        <v>976</v>
      </c>
      <c r="B569" s="138" t="s">
        <v>363</v>
      </c>
      <c r="C569" s="2" t="s">
        <v>198</v>
      </c>
      <c r="D569" s="2" t="s">
        <v>199</v>
      </c>
      <c r="E569" s="2" t="s">
        <v>402</v>
      </c>
      <c r="F569" s="139">
        <v>2</v>
      </c>
      <c r="G569" s="140">
        <v>0</v>
      </c>
      <c r="H569" s="140">
        <v>0</v>
      </c>
      <c r="I569" s="140">
        <v>0</v>
      </c>
      <c r="J569" s="140">
        <f t="shared" si="8"/>
        <v>2</v>
      </c>
      <c r="K569" s="3"/>
    </row>
    <row r="570" spans="1:11" x14ac:dyDescent="0.3">
      <c r="A570" s="4" t="s">
        <v>977</v>
      </c>
      <c r="B570" s="138" t="s">
        <v>360</v>
      </c>
      <c r="C570" s="2" t="s">
        <v>202</v>
      </c>
      <c r="D570" s="2" t="s">
        <v>204</v>
      </c>
      <c r="E570" s="2" t="s">
        <v>370</v>
      </c>
      <c r="F570" s="139">
        <v>0</v>
      </c>
      <c r="G570" s="140">
        <v>0</v>
      </c>
      <c r="H570" s="140">
        <v>0</v>
      </c>
      <c r="I570" s="140">
        <v>0</v>
      </c>
      <c r="J570" s="140">
        <f t="shared" si="8"/>
        <v>0</v>
      </c>
      <c r="K570" s="3"/>
    </row>
    <row r="571" spans="1:11" x14ac:dyDescent="0.3">
      <c r="A571" s="4" t="s">
        <v>978</v>
      </c>
      <c r="B571" s="138" t="s">
        <v>360</v>
      </c>
      <c r="C571" s="2" t="s">
        <v>202</v>
      </c>
      <c r="D571" s="2" t="s">
        <v>199</v>
      </c>
      <c r="E571" s="2" t="s">
        <v>384</v>
      </c>
      <c r="F571" s="139">
        <v>3</v>
      </c>
      <c r="G571" s="140">
        <v>0</v>
      </c>
      <c r="H571" s="140">
        <v>0</v>
      </c>
      <c r="I571" s="140">
        <v>0</v>
      </c>
      <c r="J571" s="140">
        <f t="shared" si="8"/>
        <v>3</v>
      </c>
      <c r="K571" s="3"/>
    </row>
    <row r="572" spans="1:11" x14ac:dyDescent="0.3">
      <c r="A572" s="4" t="s">
        <v>979</v>
      </c>
      <c r="B572" s="138" t="s">
        <v>360</v>
      </c>
      <c r="C572" s="2" t="s">
        <v>188</v>
      </c>
      <c r="D572" s="2" t="s">
        <v>189</v>
      </c>
      <c r="E572" s="2" t="s">
        <v>421</v>
      </c>
      <c r="F572" s="139">
        <v>7</v>
      </c>
      <c r="G572" s="140">
        <v>0</v>
      </c>
      <c r="H572" s="140">
        <v>0</v>
      </c>
      <c r="I572" s="140">
        <v>0</v>
      </c>
      <c r="J572" s="140">
        <f t="shared" si="8"/>
        <v>7</v>
      </c>
      <c r="K572" s="3"/>
    </row>
    <row r="573" spans="1:11" x14ac:dyDescent="0.3">
      <c r="A573" s="4" t="s">
        <v>980</v>
      </c>
      <c r="B573" s="138" t="s">
        <v>360</v>
      </c>
      <c r="C573" s="2" t="s">
        <v>202</v>
      </c>
      <c r="D573" s="2" t="s">
        <v>199</v>
      </c>
      <c r="E573" s="2" t="s">
        <v>378</v>
      </c>
      <c r="F573" s="139">
        <v>9</v>
      </c>
      <c r="G573" s="140">
        <v>0</v>
      </c>
      <c r="H573" s="140">
        <v>0</v>
      </c>
      <c r="I573" s="140">
        <v>0</v>
      </c>
      <c r="J573" s="140">
        <f t="shared" si="8"/>
        <v>9</v>
      </c>
      <c r="K573" s="3"/>
    </row>
    <row r="574" spans="1:11" x14ac:dyDescent="0.3">
      <c r="A574" s="4" t="s">
        <v>981</v>
      </c>
      <c r="B574" s="138" t="s">
        <v>360</v>
      </c>
      <c r="C574" s="2" t="s">
        <v>202</v>
      </c>
      <c r="D574" s="2" t="s">
        <v>199</v>
      </c>
      <c r="E574" s="2" t="s">
        <v>473</v>
      </c>
      <c r="F574" s="139">
        <v>6</v>
      </c>
      <c r="G574" s="140">
        <v>0</v>
      </c>
      <c r="H574" s="140">
        <v>0</v>
      </c>
      <c r="I574" s="140">
        <v>0</v>
      </c>
      <c r="J574" s="140">
        <f t="shared" si="8"/>
        <v>6</v>
      </c>
      <c r="K574" s="3"/>
    </row>
    <row r="575" spans="1:11" x14ac:dyDescent="0.3">
      <c r="A575" s="4" t="s">
        <v>982</v>
      </c>
      <c r="B575" s="138" t="s">
        <v>360</v>
      </c>
      <c r="C575" s="2" t="s">
        <v>188</v>
      </c>
      <c r="D575" s="2" t="s">
        <v>195</v>
      </c>
      <c r="E575" s="2" t="s">
        <v>447</v>
      </c>
      <c r="F575" s="139">
        <v>9</v>
      </c>
      <c r="G575" s="140">
        <v>0</v>
      </c>
      <c r="H575" s="140">
        <v>0</v>
      </c>
      <c r="I575" s="140">
        <v>0</v>
      </c>
      <c r="J575" s="140">
        <f t="shared" si="8"/>
        <v>9</v>
      </c>
      <c r="K575" s="3"/>
    </row>
    <row r="576" spans="1:11" x14ac:dyDescent="0.3">
      <c r="A576" s="4" t="s">
        <v>983</v>
      </c>
      <c r="B576" s="138" t="s">
        <v>360</v>
      </c>
      <c r="C576" s="2" t="s">
        <v>188</v>
      </c>
      <c r="D576" s="2" t="s">
        <v>189</v>
      </c>
      <c r="E576" s="2" t="s">
        <v>376</v>
      </c>
      <c r="F576" s="139">
        <v>2</v>
      </c>
      <c r="G576" s="140">
        <v>0</v>
      </c>
      <c r="H576" s="140">
        <v>0</v>
      </c>
      <c r="I576" s="140">
        <v>0</v>
      </c>
      <c r="J576" s="140">
        <f t="shared" si="8"/>
        <v>2</v>
      </c>
      <c r="K576" s="3"/>
    </row>
    <row r="577" spans="1:11" x14ac:dyDescent="0.3">
      <c r="A577" s="4" t="s">
        <v>984</v>
      </c>
      <c r="B577" s="138" t="s">
        <v>363</v>
      </c>
      <c r="C577" s="2" t="s">
        <v>198</v>
      </c>
      <c r="D577" s="2" t="s">
        <v>199</v>
      </c>
      <c r="E577" s="2" t="s">
        <v>432</v>
      </c>
      <c r="F577" s="139">
        <v>4</v>
      </c>
      <c r="G577" s="140">
        <v>0</v>
      </c>
      <c r="H577" s="140">
        <v>0</v>
      </c>
      <c r="I577" s="140">
        <v>0</v>
      </c>
      <c r="J577" s="140">
        <f t="shared" si="8"/>
        <v>4</v>
      </c>
      <c r="K577" s="3"/>
    </row>
    <row r="578" spans="1:11" x14ac:dyDescent="0.3">
      <c r="A578" s="4" t="s">
        <v>985</v>
      </c>
      <c r="B578" s="138" t="s">
        <v>363</v>
      </c>
      <c r="C578" s="2" t="s">
        <v>206</v>
      </c>
      <c r="D578" s="2" t="s">
        <v>189</v>
      </c>
      <c r="E578" s="2" t="s">
        <v>397</v>
      </c>
      <c r="F578" s="139">
        <v>3</v>
      </c>
      <c r="G578" s="140">
        <v>0</v>
      </c>
      <c r="H578" s="140">
        <v>0</v>
      </c>
      <c r="I578" s="140">
        <v>0</v>
      </c>
      <c r="J578" s="140">
        <f t="shared" si="8"/>
        <v>3</v>
      </c>
      <c r="K578" s="3"/>
    </row>
    <row r="579" spans="1:11" x14ac:dyDescent="0.3">
      <c r="A579" s="4" t="s">
        <v>986</v>
      </c>
      <c r="B579" s="138" t="s">
        <v>360</v>
      </c>
      <c r="C579" s="2" t="s">
        <v>188</v>
      </c>
      <c r="D579" s="2" t="s">
        <v>196</v>
      </c>
      <c r="E579" s="2" t="s">
        <v>395</v>
      </c>
      <c r="F579" s="139">
        <v>1</v>
      </c>
      <c r="G579" s="140">
        <v>0</v>
      </c>
      <c r="H579" s="140">
        <v>0</v>
      </c>
      <c r="I579" s="140">
        <v>0</v>
      </c>
      <c r="J579" s="140">
        <f t="shared" si="8"/>
        <v>1</v>
      </c>
      <c r="K579" s="3"/>
    </row>
    <row r="580" spans="1:11" x14ac:dyDescent="0.3">
      <c r="A580" s="4" t="s">
        <v>987</v>
      </c>
      <c r="B580" s="138" t="s">
        <v>360</v>
      </c>
      <c r="C580" s="2" t="s">
        <v>202</v>
      </c>
      <c r="D580" s="2" t="s">
        <v>204</v>
      </c>
      <c r="E580" s="2" t="s">
        <v>538</v>
      </c>
      <c r="F580" s="139">
        <v>1</v>
      </c>
      <c r="G580" s="140">
        <v>0</v>
      </c>
      <c r="H580" s="140">
        <v>0</v>
      </c>
      <c r="I580" s="140">
        <v>0</v>
      </c>
      <c r="J580" s="140">
        <f t="shared" si="8"/>
        <v>1</v>
      </c>
      <c r="K580" s="3"/>
    </row>
    <row r="581" spans="1:11" x14ac:dyDescent="0.3">
      <c r="A581" s="4" t="s">
        <v>988</v>
      </c>
      <c r="B581" s="138" t="s">
        <v>478</v>
      </c>
      <c r="C581" s="127" t="s">
        <v>205</v>
      </c>
      <c r="D581" s="2" t="s">
        <v>196</v>
      </c>
      <c r="E581" s="2" t="s">
        <v>479</v>
      </c>
      <c r="F581" s="139">
        <v>15</v>
      </c>
      <c r="G581" s="140">
        <v>0</v>
      </c>
      <c r="H581" s="140">
        <v>0</v>
      </c>
      <c r="I581" s="140">
        <v>0</v>
      </c>
      <c r="J581" s="140">
        <f t="shared" ref="J581:J644" si="9">SUM(F581:I581)</f>
        <v>15</v>
      </c>
      <c r="K581" s="3"/>
    </row>
    <row r="582" spans="1:11" x14ac:dyDescent="0.3">
      <c r="A582" s="4" t="s">
        <v>989</v>
      </c>
      <c r="B582" s="138" t="s">
        <v>363</v>
      </c>
      <c r="C582" s="2" t="s">
        <v>206</v>
      </c>
      <c r="D582" s="2" t="s">
        <v>189</v>
      </c>
      <c r="E582" s="2" t="s">
        <v>397</v>
      </c>
      <c r="F582" s="139">
        <v>5</v>
      </c>
      <c r="G582" s="140">
        <v>0</v>
      </c>
      <c r="H582" s="140">
        <v>0</v>
      </c>
      <c r="I582" s="140">
        <v>0</v>
      </c>
      <c r="J582" s="140">
        <f t="shared" si="9"/>
        <v>5</v>
      </c>
      <c r="K582" s="3"/>
    </row>
    <row r="583" spans="1:11" x14ac:dyDescent="0.3">
      <c r="A583" s="4" t="s">
        <v>990</v>
      </c>
      <c r="B583" s="138" t="s">
        <v>360</v>
      </c>
      <c r="C583" s="2" t="s">
        <v>202</v>
      </c>
      <c r="D583" s="2" t="s">
        <v>199</v>
      </c>
      <c r="E583" s="2" t="s">
        <v>428</v>
      </c>
      <c r="F583" s="139">
        <v>0</v>
      </c>
      <c r="G583" s="140">
        <v>16</v>
      </c>
      <c r="H583" s="140">
        <v>0</v>
      </c>
      <c r="I583" s="140">
        <v>0</v>
      </c>
      <c r="J583" s="140">
        <f t="shared" si="9"/>
        <v>16</v>
      </c>
      <c r="K583" s="3"/>
    </row>
    <row r="584" spans="1:11" x14ac:dyDescent="0.3">
      <c r="A584" s="4" t="s">
        <v>991</v>
      </c>
      <c r="B584" s="138" t="s">
        <v>360</v>
      </c>
      <c r="C584" s="2" t="s">
        <v>202</v>
      </c>
      <c r="D584" s="2" t="s">
        <v>199</v>
      </c>
      <c r="E584" s="2" t="s">
        <v>384</v>
      </c>
      <c r="F584" s="139">
        <v>2</v>
      </c>
      <c r="G584" s="140">
        <v>4</v>
      </c>
      <c r="H584" s="140">
        <v>0</v>
      </c>
      <c r="I584" s="140">
        <v>0</v>
      </c>
      <c r="J584" s="140">
        <f t="shared" si="9"/>
        <v>6</v>
      </c>
      <c r="K584" s="3"/>
    </row>
    <row r="585" spans="1:11" x14ac:dyDescent="0.3">
      <c r="A585" s="4" t="s">
        <v>992</v>
      </c>
      <c r="B585" s="138" t="s">
        <v>363</v>
      </c>
      <c r="C585" s="2" t="s">
        <v>206</v>
      </c>
      <c r="D585" s="2" t="s">
        <v>197</v>
      </c>
      <c r="E585" s="2" t="s">
        <v>637</v>
      </c>
      <c r="F585" s="139">
        <v>4</v>
      </c>
      <c r="G585" s="140">
        <v>0</v>
      </c>
      <c r="H585" s="140">
        <v>0</v>
      </c>
      <c r="I585" s="140">
        <v>0</v>
      </c>
      <c r="J585" s="140">
        <f t="shared" si="9"/>
        <v>4</v>
      </c>
      <c r="K585" s="3"/>
    </row>
    <row r="586" spans="1:11" x14ac:dyDescent="0.3">
      <c r="A586" s="4" t="s">
        <v>993</v>
      </c>
      <c r="B586" s="138" t="s">
        <v>360</v>
      </c>
      <c r="C586" s="2" t="s">
        <v>202</v>
      </c>
      <c r="D586" s="2" t="s">
        <v>204</v>
      </c>
      <c r="E586" s="2" t="s">
        <v>419</v>
      </c>
      <c r="F586" s="139">
        <v>17</v>
      </c>
      <c r="G586" s="140">
        <v>0</v>
      </c>
      <c r="H586" s="140">
        <v>0</v>
      </c>
      <c r="I586" s="140">
        <v>0</v>
      </c>
      <c r="J586" s="140">
        <f t="shared" si="9"/>
        <v>17</v>
      </c>
      <c r="K586" s="3"/>
    </row>
    <row r="587" spans="1:11" x14ac:dyDescent="0.3">
      <c r="A587" s="4" t="s">
        <v>994</v>
      </c>
      <c r="B587" s="138" t="s">
        <v>360</v>
      </c>
      <c r="C587" s="2" t="s">
        <v>202</v>
      </c>
      <c r="D587" s="2" t="s">
        <v>204</v>
      </c>
      <c r="E587" s="2" t="s">
        <v>538</v>
      </c>
      <c r="F587" s="139">
        <v>1</v>
      </c>
      <c r="G587" s="140">
        <v>2</v>
      </c>
      <c r="H587" s="140">
        <v>0</v>
      </c>
      <c r="I587" s="140">
        <v>0</v>
      </c>
      <c r="J587" s="140">
        <f t="shared" si="9"/>
        <v>3</v>
      </c>
      <c r="K587" s="3"/>
    </row>
    <row r="588" spans="1:11" x14ac:dyDescent="0.3">
      <c r="A588" s="4" t="s">
        <v>995</v>
      </c>
      <c r="B588" s="138" t="s">
        <v>360</v>
      </c>
      <c r="C588" s="2" t="s">
        <v>202</v>
      </c>
      <c r="D588" s="2" t="s">
        <v>199</v>
      </c>
      <c r="E588" s="2" t="s">
        <v>384</v>
      </c>
      <c r="F588" s="139">
        <v>15</v>
      </c>
      <c r="G588" s="140">
        <v>0</v>
      </c>
      <c r="H588" s="140">
        <v>0</v>
      </c>
      <c r="I588" s="140">
        <v>6</v>
      </c>
      <c r="J588" s="140">
        <f t="shared" si="9"/>
        <v>21</v>
      </c>
      <c r="K588" s="3"/>
    </row>
    <row r="589" spans="1:11" x14ac:dyDescent="0.3">
      <c r="A589" s="4" t="s">
        <v>996</v>
      </c>
      <c r="B589" s="138" t="s">
        <v>360</v>
      </c>
      <c r="C589" s="2" t="s">
        <v>202</v>
      </c>
      <c r="D589" s="2" t="s">
        <v>199</v>
      </c>
      <c r="E589" s="2" t="s">
        <v>428</v>
      </c>
      <c r="F589" s="139">
        <v>10</v>
      </c>
      <c r="G589" s="140">
        <v>0</v>
      </c>
      <c r="H589" s="140">
        <v>0</v>
      </c>
      <c r="I589" s="140">
        <v>0</v>
      </c>
      <c r="J589" s="140">
        <f t="shared" si="9"/>
        <v>10</v>
      </c>
      <c r="K589" s="3"/>
    </row>
    <row r="590" spans="1:11" x14ac:dyDescent="0.3">
      <c r="A590" s="4" t="s">
        <v>997</v>
      </c>
      <c r="B590" s="138" t="s">
        <v>360</v>
      </c>
      <c r="C590" s="2" t="s">
        <v>202</v>
      </c>
      <c r="D590" s="2" t="s">
        <v>199</v>
      </c>
      <c r="E590" s="2" t="s">
        <v>384</v>
      </c>
      <c r="F590" s="139">
        <v>5</v>
      </c>
      <c r="G590" s="140">
        <v>0</v>
      </c>
      <c r="H590" s="140">
        <v>0</v>
      </c>
      <c r="I590" s="140">
        <v>0</v>
      </c>
      <c r="J590" s="140">
        <f t="shared" si="9"/>
        <v>5</v>
      </c>
      <c r="K590" s="3"/>
    </row>
    <row r="591" spans="1:11" x14ac:dyDescent="0.3">
      <c r="A591" s="4" t="s">
        <v>998</v>
      </c>
      <c r="B591" s="138" t="s">
        <v>360</v>
      </c>
      <c r="C591" s="2" t="s">
        <v>188</v>
      </c>
      <c r="D591" s="2" t="s">
        <v>196</v>
      </c>
      <c r="E591" s="2" t="s">
        <v>423</v>
      </c>
      <c r="F591" s="139">
        <v>0</v>
      </c>
      <c r="G591" s="140">
        <v>0</v>
      </c>
      <c r="H591" s="140">
        <v>0</v>
      </c>
      <c r="I591" s="140">
        <v>0</v>
      </c>
      <c r="J591" s="140">
        <f t="shared" si="9"/>
        <v>0</v>
      </c>
      <c r="K591" s="3"/>
    </row>
    <row r="592" spans="1:11" x14ac:dyDescent="0.3">
      <c r="A592" s="4" t="s">
        <v>999</v>
      </c>
      <c r="B592" s="138" t="s">
        <v>360</v>
      </c>
      <c r="C592" s="2" t="s">
        <v>202</v>
      </c>
      <c r="D592" s="2" t="s">
        <v>199</v>
      </c>
      <c r="E592" s="2" t="s">
        <v>384</v>
      </c>
      <c r="F592" s="139">
        <v>0</v>
      </c>
      <c r="G592" s="140">
        <v>0</v>
      </c>
      <c r="H592" s="140">
        <v>0</v>
      </c>
      <c r="I592" s="140">
        <v>0</v>
      </c>
      <c r="J592" s="140">
        <f t="shared" si="9"/>
        <v>0</v>
      </c>
      <c r="K592" s="3"/>
    </row>
    <row r="593" spans="1:11" x14ac:dyDescent="0.3">
      <c r="A593" s="4" t="s">
        <v>1000</v>
      </c>
      <c r="B593" s="138" t="s">
        <v>360</v>
      </c>
      <c r="C593" s="2" t="s">
        <v>202</v>
      </c>
      <c r="D593" s="2" t="s">
        <v>204</v>
      </c>
      <c r="E593" s="2" t="s">
        <v>366</v>
      </c>
      <c r="F593" s="139">
        <v>4</v>
      </c>
      <c r="G593" s="140">
        <v>2</v>
      </c>
      <c r="H593" s="140">
        <v>0</v>
      </c>
      <c r="I593" s="140">
        <v>0</v>
      </c>
      <c r="J593" s="140">
        <f t="shared" si="9"/>
        <v>6</v>
      </c>
      <c r="K593" s="3"/>
    </row>
    <row r="594" spans="1:11" x14ac:dyDescent="0.3">
      <c r="A594" s="4" t="s">
        <v>1001</v>
      </c>
      <c r="B594" s="138" t="s">
        <v>360</v>
      </c>
      <c r="C594" s="2" t="s">
        <v>202</v>
      </c>
      <c r="D594" s="2" t="s">
        <v>204</v>
      </c>
      <c r="E594" s="2" t="s">
        <v>366</v>
      </c>
      <c r="F594" s="139">
        <v>0</v>
      </c>
      <c r="G594" s="140">
        <v>0</v>
      </c>
      <c r="H594" s="140">
        <v>0</v>
      </c>
      <c r="I594" s="140">
        <v>0</v>
      </c>
      <c r="J594" s="140">
        <f t="shared" si="9"/>
        <v>0</v>
      </c>
      <c r="K594" s="3"/>
    </row>
    <row r="595" spans="1:11" x14ac:dyDescent="0.3">
      <c r="A595" s="4" t="s">
        <v>1002</v>
      </c>
      <c r="B595" s="138" t="s">
        <v>363</v>
      </c>
      <c r="C595" s="2" t="s">
        <v>198</v>
      </c>
      <c r="D595" s="2" t="s">
        <v>199</v>
      </c>
      <c r="E595" s="2" t="s">
        <v>402</v>
      </c>
      <c r="F595" s="139">
        <v>2</v>
      </c>
      <c r="G595" s="140">
        <v>20</v>
      </c>
      <c r="H595" s="140">
        <v>0</v>
      </c>
      <c r="I595" s="140">
        <v>0</v>
      </c>
      <c r="J595" s="140">
        <f t="shared" si="9"/>
        <v>22</v>
      </c>
      <c r="K595" s="3"/>
    </row>
    <row r="596" spans="1:11" x14ac:dyDescent="0.3">
      <c r="A596" s="4" t="s">
        <v>1003</v>
      </c>
      <c r="B596" s="138" t="s">
        <v>363</v>
      </c>
      <c r="C596" s="2" t="s">
        <v>208</v>
      </c>
      <c r="D596" s="2" t="s">
        <v>194</v>
      </c>
      <c r="E596" s="2" t="s">
        <v>434</v>
      </c>
      <c r="F596" s="139">
        <v>2</v>
      </c>
      <c r="G596" s="140">
        <v>0</v>
      </c>
      <c r="H596" s="140">
        <v>0</v>
      </c>
      <c r="I596" s="140">
        <v>0</v>
      </c>
      <c r="J596" s="140">
        <f t="shared" si="9"/>
        <v>2</v>
      </c>
      <c r="K596" s="3"/>
    </row>
    <row r="597" spans="1:11" x14ac:dyDescent="0.3">
      <c r="A597" s="4" t="s">
        <v>1004</v>
      </c>
      <c r="B597" s="138" t="s">
        <v>360</v>
      </c>
      <c r="C597" s="2" t="s">
        <v>202</v>
      </c>
      <c r="D597" s="2" t="s">
        <v>204</v>
      </c>
      <c r="E597" s="2" t="s">
        <v>391</v>
      </c>
      <c r="F597" s="139">
        <v>1</v>
      </c>
      <c r="G597" s="140">
        <v>0</v>
      </c>
      <c r="H597" s="140">
        <v>0</v>
      </c>
      <c r="I597" s="140">
        <v>0</v>
      </c>
      <c r="J597" s="140">
        <f t="shared" si="9"/>
        <v>1</v>
      </c>
      <c r="K597" s="3"/>
    </row>
    <row r="598" spans="1:11" x14ac:dyDescent="0.3">
      <c r="A598" s="4" t="s">
        <v>1005</v>
      </c>
      <c r="B598" s="138" t="s">
        <v>363</v>
      </c>
      <c r="C598" s="2" t="s">
        <v>198</v>
      </c>
      <c r="D598" s="2" t="s">
        <v>199</v>
      </c>
      <c r="E598" s="2" t="s">
        <v>380</v>
      </c>
      <c r="F598" s="139">
        <v>13</v>
      </c>
      <c r="G598" s="140">
        <v>0</v>
      </c>
      <c r="H598" s="140">
        <v>0</v>
      </c>
      <c r="I598" s="140">
        <v>0</v>
      </c>
      <c r="J598" s="140">
        <f t="shared" si="9"/>
        <v>13</v>
      </c>
      <c r="K598" s="3"/>
    </row>
    <row r="599" spans="1:11" x14ac:dyDescent="0.3">
      <c r="A599" s="4" t="s">
        <v>1006</v>
      </c>
      <c r="B599" s="138" t="s">
        <v>360</v>
      </c>
      <c r="C599" s="2" t="s">
        <v>202</v>
      </c>
      <c r="D599" s="2" t="s">
        <v>199</v>
      </c>
      <c r="E599" s="2" t="s">
        <v>378</v>
      </c>
      <c r="F599" s="139">
        <v>4</v>
      </c>
      <c r="G599" s="140">
        <v>0</v>
      </c>
      <c r="H599" s="140">
        <v>0</v>
      </c>
      <c r="I599" s="140">
        <v>0</v>
      </c>
      <c r="J599" s="140">
        <f t="shared" si="9"/>
        <v>4</v>
      </c>
      <c r="K599" s="3"/>
    </row>
    <row r="600" spans="1:11" x14ac:dyDescent="0.3">
      <c r="A600" s="4" t="s">
        <v>1007</v>
      </c>
      <c r="B600" s="138" t="s">
        <v>360</v>
      </c>
      <c r="C600" s="2" t="s">
        <v>202</v>
      </c>
      <c r="D600" s="2" t="s">
        <v>200</v>
      </c>
      <c r="E600" s="2" t="s">
        <v>417</v>
      </c>
      <c r="F600" s="139">
        <v>0</v>
      </c>
      <c r="G600" s="140">
        <v>2</v>
      </c>
      <c r="H600" s="140">
        <v>0</v>
      </c>
      <c r="I600" s="140">
        <v>0</v>
      </c>
      <c r="J600" s="140">
        <f t="shared" si="9"/>
        <v>2</v>
      </c>
      <c r="K600" s="3"/>
    </row>
    <row r="601" spans="1:11" x14ac:dyDescent="0.3">
      <c r="A601" s="4" t="s">
        <v>1008</v>
      </c>
      <c r="B601" s="138" t="s">
        <v>360</v>
      </c>
      <c r="C601" s="2" t="s">
        <v>209</v>
      </c>
      <c r="D601" s="2" t="s">
        <v>197</v>
      </c>
      <c r="E601" s="2" t="s">
        <v>425</v>
      </c>
      <c r="F601" s="139">
        <v>12</v>
      </c>
      <c r="G601" s="140">
        <v>0</v>
      </c>
      <c r="H601" s="140">
        <v>0</v>
      </c>
      <c r="I601" s="140">
        <v>8</v>
      </c>
      <c r="J601" s="140">
        <f t="shared" si="9"/>
        <v>20</v>
      </c>
      <c r="K601" s="3"/>
    </row>
    <row r="602" spans="1:11" x14ac:dyDescent="0.3">
      <c r="A602" s="4" t="s">
        <v>1009</v>
      </c>
      <c r="B602" s="138" t="s">
        <v>363</v>
      </c>
      <c r="C602" s="2" t="s">
        <v>206</v>
      </c>
      <c r="D602" s="2" t="s">
        <v>207</v>
      </c>
      <c r="E602" s="2" t="s">
        <v>443</v>
      </c>
      <c r="F602" s="139">
        <v>1</v>
      </c>
      <c r="G602" s="140">
        <v>0</v>
      </c>
      <c r="H602" s="140">
        <v>0</v>
      </c>
      <c r="I602" s="140">
        <v>0</v>
      </c>
      <c r="J602" s="140">
        <f t="shared" si="9"/>
        <v>1</v>
      </c>
      <c r="K602" s="3"/>
    </row>
    <row r="603" spans="1:11" x14ac:dyDescent="0.3">
      <c r="A603" s="4" t="s">
        <v>1010</v>
      </c>
      <c r="B603" s="138" t="s">
        <v>363</v>
      </c>
      <c r="C603" s="2" t="s">
        <v>198</v>
      </c>
      <c r="D603" s="2" t="s">
        <v>200</v>
      </c>
      <c r="E603" s="2" t="s">
        <v>372</v>
      </c>
      <c r="F603" s="139">
        <v>2</v>
      </c>
      <c r="G603" s="140">
        <v>0</v>
      </c>
      <c r="H603" s="140">
        <v>0</v>
      </c>
      <c r="I603" s="140">
        <v>0</v>
      </c>
      <c r="J603" s="140">
        <f t="shared" si="9"/>
        <v>2</v>
      </c>
      <c r="K603" s="3"/>
    </row>
    <row r="604" spans="1:11" x14ac:dyDescent="0.3">
      <c r="A604" s="4" t="s">
        <v>1011</v>
      </c>
      <c r="B604" s="138" t="s">
        <v>363</v>
      </c>
      <c r="C604" s="2" t="s">
        <v>198</v>
      </c>
      <c r="D604" s="2" t="s">
        <v>199</v>
      </c>
      <c r="E604" s="2" t="s">
        <v>402</v>
      </c>
      <c r="F604" s="139">
        <v>8</v>
      </c>
      <c r="G604" s="140">
        <v>0</v>
      </c>
      <c r="H604" s="140">
        <v>0</v>
      </c>
      <c r="I604" s="140">
        <v>0</v>
      </c>
      <c r="J604" s="140">
        <f t="shared" si="9"/>
        <v>8</v>
      </c>
      <c r="K604" s="3"/>
    </row>
    <row r="605" spans="1:11" x14ac:dyDescent="0.3">
      <c r="A605" s="4" t="s">
        <v>1012</v>
      </c>
      <c r="B605" s="138" t="s">
        <v>360</v>
      </c>
      <c r="C605" s="2" t="s">
        <v>188</v>
      </c>
      <c r="D605" s="2" t="s">
        <v>189</v>
      </c>
      <c r="E605" s="2" t="s">
        <v>421</v>
      </c>
      <c r="F605" s="139">
        <v>3</v>
      </c>
      <c r="G605" s="140">
        <v>0</v>
      </c>
      <c r="H605" s="140">
        <v>0</v>
      </c>
      <c r="I605" s="140">
        <v>0</v>
      </c>
      <c r="J605" s="140">
        <f t="shared" si="9"/>
        <v>3</v>
      </c>
      <c r="K605" s="3"/>
    </row>
    <row r="606" spans="1:11" x14ac:dyDescent="0.3">
      <c r="A606" s="4" t="s">
        <v>1013</v>
      </c>
      <c r="B606" s="138" t="s">
        <v>363</v>
      </c>
      <c r="C606" s="2" t="s">
        <v>198</v>
      </c>
      <c r="D606" s="2" t="s">
        <v>199</v>
      </c>
      <c r="E606" s="2" t="s">
        <v>380</v>
      </c>
      <c r="F606" s="139">
        <v>4</v>
      </c>
      <c r="G606" s="140">
        <v>0</v>
      </c>
      <c r="H606" s="140">
        <v>0</v>
      </c>
      <c r="I606" s="140">
        <v>0</v>
      </c>
      <c r="J606" s="140">
        <f t="shared" si="9"/>
        <v>4</v>
      </c>
      <c r="K606" s="3"/>
    </row>
    <row r="607" spans="1:11" x14ac:dyDescent="0.3">
      <c r="A607" s="4" t="s">
        <v>1014</v>
      </c>
      <c r="B607" s="138" t="s">
        <v>360</v>
      </c>
      <c r="C607" s="2" t="s">
        <v>202</v>
      </c>
      <c r="D607" s="2" t="s">
        <v>199</v>
      </c>
      <c r="E607" s="2" t="s">
        <v>415</v>
      </c>
      <c r="F607" s="139">
        <v>6</v>
      </c>
      <c r="G607" s="140">
        <v>0</v>
      </c>
      <c r="H607" s="140">
        <v>0</v>
      </c>
      <c r="I607" s="140">
        <v>0</v>
      </c>
      <c r="J607" s="140">
        <f t="shared" si="9"/>
        <v>6</v>
      </c>
      <c r="K607" s="3"/>
    </row>
    <row r="608" spans="1:11" x14ac:dyDescent="0.3">
      <c r="A608" s="4" t="s">
        <v>1015</v>
      </c>
      <c r="B608" s="138" t="s">
        <v>360</v>
      </c>
      <c r="C608" s="2" t="s">
        <v>188</v>
      </c>
      <c r="D608" s="2" t="s">
        <v>197</v>
      </c>
      <c r="E608" s="2" t="s">
        <v>862</v>
      </c>
      <c r="F608" s="139">
        <v>15</v>
      </c>
      <c r="G608" s="140">
        <v>28</v>
      </c>
      <c r="H608" s="140">
        <v>0</v>
      </c>
      <c r="I608" s="140">
        <v>0</v>
      </c>
      <c r="J608" s="140">
        <f t="shared" si="9"/>
        <v>43</v>
      </c>
      <c r="K608" s="3"/>
    </row>
    <row r="609" spans="1:11" x14ac:dyDescent="0.3">
      <c r="A609" s="4" t="s">
        <v>1016</v>
      </c>
      <c r="B609" s="138" t="s">
        <v>360</v>
      </c>
      <c r="C609" s="2" t="s">
        <v>202</v>
      </c>
      <c r="D609" s="2" t="s">
        <v>204</v>
      </c>
      <c r="E609" s="2" t="s">
        <v>419</v>
      </c>
      <c r="F609" s="139">
        <v>16</v>
      </c>
      <c r="G609" s="140">
        <v>0</v>
      </c>
      <c r="H609" s="140">
        <v>0</v>
      </c>
      <c r="I609" s="140">
        <v>6</v>
      </c>
      <c r="J609" s="140">
        <f t="shared" si="9"/>
        <v>22</v>
      </c>
      <c r="K609" s="3"/>
    </row>
    <row r="610" spans="1:11" x14ac:dyDescent="0.3">
      <c r="A610" s="4" t="s">
        <v>1017</v>
      </c>
      <c r="B610" s="138" t="s">
        <v>478</v>
      </c>
      <c r="C610" s="127" t="s">
        <v>205</v>
      </c>
      <c r="D610" s="2" t="s">
        <v>189</v>
      </c>
      <c r="E610" s="2" t="s">
        <v>498</v>
      </c>
      <c r="F610" s="139">
        <v>12</v>
      </c>
      <c r="G610" s="140">
        <v>0</v>
      </c>
      <c r="H610" s="140">
        <v>0</v>
      </c>
      <c r="I610" s="140">
        <v>0</v>
      </c>
      <c r="J610" s="140">
        <f t="shared" si="9"/>
        <v>12</v>
      </c>
      <c r="K610" s="3"/>
    </row>
    <row r="611" spans="1:11" x14ac:dyDescent="0.3">
      <c r="A611" s="4" t="s">
        <v>1018</v>
      </c>
      <c r="B611" s="138" t="s">
        <v>360</v>
      </c>
      <c r="C611" s="2" t="s">
        <v>202</v>
      </c>
      <c r="D611" s="2" t="s">
        <v>204</v>
      </c>
      <c r="E611" s="2" t="s">
        <v>389</v>
      </c>
      <c r="F611" s="139">
        <v>0</v>
      </c>
      <c r="G611" s="140">
        <v>0</v>
      </c>
      <c r="H611" s="140">
        <v>0</v>
      </c>
      <c r="I611" s="140">
        <v>0</v>
      </c>
      <c r="J611" s="140">
        <f t="shared" si="9"/>
        <v>0</v>
      </c>
      <c r="K611" s="3"/>
    </row>
    <row r="612" spans="1:11" x14ac:dyDescent="0.3">
      <c r="A612" s="4" t="s">
        <v>1019</v>
      </c>
      <c r="B612" s="138" t="s">
        <v>360</v>
      </c>
      <c r="C612" s="2" t="s">
        <v>202</v>
      </c>
      <c r="D612" s="2" t="s">
        <v>199</v>
      </c>
      <c r="E612" s="2" t="s">
        <v>384</v>
      </c>
      <c r="F612" s="139">
        <v>2</v>
      </c>
      <c r="G612" s="140">
        <v>0</v>
      </c>
      <c r="H612" s="140">
        <v>0</v>
      </c>
      <c r="I612" s="140">
        <v>0</v>
      </c>
      <c r="J612" s="140">
        <f t="shared" si="9"/>
        <v>2</v>
      </c>
      <c r="K612" s="3"/>
    </row>
    <row r="613" spans="1:11" x14ac:dyDescent="0.3">
      <c r="A613" s="4" t="s">
        <v>1020</v>
      </c>
      <c r="B613" s="138" t="s">
        <v>360</v>
      </c>
      <c r="C613" s="2" t="s">
        <v>202</v>
      </c>
      <c r="D613" s="2" t="s">
        <v>194</v>
      </c>
      <c r="E613" s="2" t="s">
        <v>488</v>
      </c>
      <c r="F613" s="139">
        <v>12</v>
      </c>
      <c r="G613" s="140">
        <v>0</v>
      </c>
      <c r="H613" s="140">
        <v>0</v>
      </c>
      <c r="I613" s="140">
        <v>0</v>
      </c>
      <c r="J613" s="140">
        <f t="shared" si="9"/>
        <v>12</v>
      </c>
      <c r="K613" s="3"/>
    </row>
    <row r="614" spans="1:11" x14ac:dyDescent="0.3">
      <c r="A614" s="4" t="s">
        <v>1021</v>
      </c>
      <c r="B614" s="138" t="s">
        <v>363</v>
      </c>
      <c r="C614" s="2" t="s">
        <v>198</v>
      </c>
      <c r="D614" s="2" t="s">
        <v>199</v>
      </c>
      <c r="E614" s="2" t="s">
        <v>402</v>
      </c>
      <c r="F614" s="139">
        <v>1</v>
      </c>
      <c r="G614" s="140">
        <v>0</v>
      </c>
      <c r="H614" s="140">
        <v>0</v>
      </c>
      <c r="I614" s="140">
        <v>0</v>
      </c>
      <c r="J614" s="140">
        <f t="shared" si="9"/>
        <v>1</v>
      </c>
      <c r="K614" s="3"/>
    </row>
    <row r="615" spans="1:11" x14ac:dyDescent="0.3">
      <c r="A615" s="4" t="s">
        <v>1022</v>
      </c>
      <c r="B615" s="138" t="s">
        <v>360</v>
      </c>
      <c r="C615" s="2" t="s">
        <v>188</v>
      </c>
      <c r="D615" s="2" t="s">
        <v>196</v>
      </c>
      <c r="E615" s="2" t="s">
        <v>423</v>
      </c>
      <c r="F615" s="139">
        <v>3</v>
      </c>
      <c r="G615" s="140">
        <v>0</v>
      </c>
      <c r="H615" s="140">
        <v>0</v>
      </c>
      <c r="I615" s="140">
        <v>0</v>
      </c>
      <c r="J615" s="140">
        <f t="shared" si="9"/>
        <v>3</v>
      </c>
      <c r="K615" s="3"/>
    </row>
    <row r="616" spans="1:11" x14ac:dyDescent="0.3">
      <c r="A616" s="4" t="s">
        <v>1023</v>
      </c>
      <c r="B616" s="138" t="s">
        <v>360</v>
      </c>
      <c r="C616" s="2" t="s">
        <v>209</v>
      </c>
      <c r="D616" s="2" t="s">
        <v>207</v>
      </c>
      <c r="E616" s="2" t="s">
        <v>382</v>
      </c>
      <c r="F616" s="139">
        <v>0</v>
      </c>
      <c r="G616" s="140">
        <v>0</v>
      </c>
      <c r="H616" s="140">
        <v>0</v>
      </c>
      <c r="I616" s="140">
        <v>0</v>
      </c>
      <c r="J616" s="140">
        <f t="shared" si="9"/>
        <v>0</v>
      </c>
      <c r="K616" s="3"/>
    </row>
    <row r="617" spans="1:11" x14ac:dyDescent="0.3">
      <c r="A617" s="4" t="s">
        <v>1024</v>
      </c>
      <c r="B617" s="138" t="s">
        <v>360</v>
      </c>
      <c r="C617" s="2" t="s">
        <v>202</v>
      </c>
      <c r="D617" s="2" t="s">
        <v>204</v>
      </c>
      <c r="E617" s="2" t="s">
        <v>366</v>
      </c>
      <c r="F617" s="139">
        <v>8</v>
      </c>
      <c r="G617" s="140">
        <v>0</v>
      </c>
      <c r="H617" s="140">
        <v>0</v>
      </c>
      <c r="I617" s="140">
        <v>0</v>
      </c>
      <c r="J617" s="140">
        <f t="shared" si="9"/>
        <v>8</v>
      </c>
      <c r="K617" s="3"/>
    </row>
    <row r="618" spans="1:11" x14ac:dyDescent="0.3">
      <c r="A618" s="4" t="s">
        <v>1025</v>
      </c>
      <c r="B618" s="138" t="s">
        <v>360</v>
      </c>
      <c r="C618" s="2" t="s">
        <v>202</v>
      </c>
      <c r="D618" s="127" t="s">
        <v>203</v>
      </c>
      <c r="E618" s="2" t="s">
        <v>399</v>
      </c>
      <c r="F618" s="139">
        <v>10</v>
      </c>
      <c r="G618" s="140">
        <v>8</v>
      </c>
      <c r="H618" s="140">
        <v>0</v>
      </c>
      <c r="I618" s="140">
        <v>0</v>
      </c>
      <c r="J618" s="140">
        <f t="shared" si="9"/>
        <v>18</v>
      </c>
      <c r="K618" s="3"/>
    </row>
    <row r="619" spans="1:11" x14ac:dyDescent="0.3">
      <c r="A619" s="4" t="s">
        <v>1026</v>
      </c>
      <c r="B619" s="138" t="s">
        <v>360</v>
      </c>
      <c r="C619" s="2" t="s">
        <v>188</v>
      </c>
      <c r="D619" s="2" t="s">
        <v>196</v>
      </c>
      <c r="E619" s="2" t="s">
        <v>395</v>
      </c>
      <c r="F619" s="139">
        <v>13</v>
      </c>
      <c r="G619" s="140">
        <v>0</v>
      </c>
      <c r="H619" s="140">
        <v>0</v>
      </c>
      <c r="I619" s="140">
        <v>0</v>
      </c>
      <c r="J619" s="140">
        <f t="shared" si="9"/>
        <v>13</v>
      </c>
      <c r="K619" s="3"/>
    </row>
    <row r="620" spans="1:11" x14ac:dyDescent="0.3">
      <c r="A620" s="4" t="s">
        <v>1027</v>
      </c>
      <c r="B620" s="138" t="s">
        <v>478</v>
      </c>
      <c r="C620" s="127" t="s">
        <v>205</v>
      </c>
      <c r="D620" s="2" t="s">
        <v>196</v>
      </c>
      <c r="E620" s="2" t="s">
        <v>479</v>
      </c>
      <c r="F620" s="139">
        <v>17</v>
      </c>
      <c r="G620" s="140">
        <v>0</v>
      </c>
      <c r="H620" s="140">
        <v>0</v>
      </c>
      <c r="I620" s="140">
        <v>0</v>
      </c>
      <c r="J620" s="140">
        <f t="shared" si="9"/>
        <v>17</v>
      </c>
      <c r="K620" s="3"/>
    </row>
    <row r="621" spans="1:11" x14ac:dyDescent="0.3">
      <c r="A621" s="4" t="s">
        <v>1028</v>
      </c>
      <c r="B621" s="138" t="s">
        <v>363</v>
      </c>
      <c r="C621" s="2" t="s">
        <v>208</v>
      </c>
      <c r="D621" s="2" t="s">
        <v>194</v>
      </c>
      <c r="E621" s="2" t="s">
        <v>434</v>
      </c>
      <c r="F621" s="139">
        <v>0</v>
      </c>
      <c r="G621" s="140">
        <v>0</v>
      </c>
      <c r="H621" s="140">
        <v>0</v>
      </c>
      <c r="I621" s="140">
        <v>0</v>
      </c>
      <c r="J621" s="140">
        <f t="shared" si="9"/>
        <v>0</v>
      </c>
      <c r="K621" s="3"/>
    </row>
    <row r="622" spans="1:11" x14ac:dyDescent="0.3">
      <c r="A622" s="4" t="s">
        <v>1029</v>
      </c>
      <c r="B622" s="138" t="s">
        <v>360</v>
      </c>
      <c r="C622" s="2" t="s">
        <v>188</v>
      </c>
      <c r="D622" s="2" t="s">
        <v>195</v>
      </c>
      <c r="E622" s="2" t="s">
        <v>447</v>
      </c>
      <c r="F622" s="139">
        <v>1</v>
      </c>
      <c r="G622" s="140">
        <v>0</v>
      </c>
      <c r="H622" s="140">
        <v>0</v>
      </c>
      <c r="I622" s="140">
        <v>0</v>
      </c>
      <c r="J622" s="140">
        <f t="shared" si="9"/>
        <v>1</v>
      </c>
      <c r="K622" s="3"/>
    </row>
    <row r="623" spans="1:11" x14ac:dyDescent="0.3">
      <c r="A623" s="4" t="s">
        <v>1030</v>
      </c>
      <c r="B623" s="138" t="s">
        <v>360</v>
      </c>
      <c r="C623" s="2" t="s">
        <v>202</v>
      </c>
      <c r="D623" s="2" t="s">
        <v>199</v>
      </c>
      <c r="E623" s="2" t="s">
        <v>454</v>
      </c>
      <c r="F623" s="139">
        <v>8</v>
      </c>
      <c r="G623" s="140">
        <v>0</v>
      </c>
      <c r="H623" s="140">
        <v>0</v>
      </c>
      <c r="I623" s="140">
        <v>0</v>
      </c>
      <c r="J623" s="140">
        <f t="shared" si="9"/>
        <v>8</v>
      </c>
      <c r="K623" s="3"/>
    </row>
    <row r="624" spans="1:11" x14ac:dyDescent="0.3">
      <c r="A624" s="4" t="s">
        <v>1031</v>
      </c>
      <c r="B624" s="138" t="s">
        <v>363</v>
      </c>
      <c r="C624" s="2" t="s">
        <v>198</v>
      </c>
      <c r="D624" s="2" t="s">
        <v>199</v>
      </c>
      <c r="E624" s="2" t="s">
        <v>432</v>
      </c>
      <c r="F624" s="139">
        <v>2</v>
      </c>
      <c r="G624" s="140">
        <v>0</v>
      </c>
      <c r="H624" s="140">
        <v>0</v>
      </c>
      <c r="I624" s="140">
        <v>0</v>
      </c>
      <c r="J624" s="140">
        <f t="shared" si="9"/>
        <v>2</v>
      </c>
      <c r="K624" s="3"/>
    </row>
    <row r="625" spans="1:11" x14ac:dyDescent="0.3">
      <c r="A625" s="4" t="s">
        <v>1032</v>
      </c>
      <c r="B625" s="138" t="s">
        <v>360</v>
      </c>
      <c r="C625" s="2" t="s">
        <v>188</v>
      </c>
      <c r="D625" s="2" t="s">
        <v>195</v>
      </c>
      <c r="E625" s="2" t="s">
        <v>447</v>
      </c>
      <c r="F625" s="139">
        <v>3</v>
      </c>
      <c r="G625" s="140">
        <v>0</v>
      </c>
      <c r="H625" s="140">
        <v>0</v>
      </c>
      <c r="I625" s="140">
        <v>0</v>
      </c>
      <c r="J625" s="140">
        <f t="shared" si="9"/>
        <v>3</v>
      </c>
      <c r="K625" s="3"/>
    </row>
    <row r="626" spans="1:11" x14ac:dyDescent="0.3">
      <c r="A626" s="4" t="s">
        <v>1033</v>
      </c>
      <c r="B626" s="138" t="s">
        <v>360</v>
      </c>
      <c r="C626" s="2" t="s">
        <v>209</v>
      </c>
      <c r="D626" s="2" t="s">
        <v>207</v>
      </c>
      <c r="E626" s="2" t="s">
        <v>382</v>
      </c>
      <c r="F626" s="139">
        <v>10</v>
      </c>
      <c r="G626" s="140">
        <v>0</v>
      </c>
      <c r="H626" s="140">
        <v>0</v>
      </c>
      <c r="I626" s="140">
        <v>0</v>
      </c>
      <c r="J626" s="140">
        <f t="shared" si="9"/>
        <v>10</v>
      </c>
      <c r="K626" s="3"/>
    </row>
    <row r="627" spans="1:11" x14ac:dyDescent="0.3">
      <c r="A627" s="4" t="s">
        <v>1034</v>
      </c>
      <c r="B627" s="138" t="s">
        <v>360</v>
      </c>
      <c r="C627" s="2" t="s">
        <v>188</v>
      </c>
      <c r="D627" s="2" t="s">
        <v>189</v>
      </c>
      <c r="E627" s="2" t="s">
        <v>387</v>
      </c>
      <c r="F627" s="139">
        <v>3</v>
      </c>
      <c r="G627" s="140">
        <v>0</v>
      </c>
      <c r="H627" s="140">
        <v>0</v>
      </c>
      <c r="I627" s="140">
        <v>0</v>
      </c>
      <c r="J627" s="140">
        <f t="shared" si="9"/>
        <v>3</v>
      </c>
      <c r="K627" s="3"/>
    </row>
    <row r="628" spans="1:11" x14ac:dyDescent="0.3">
      <c r="A628" s="4" t="s">
        <v>1035</v>
      </c>
      <c r="B628" s="138" t="s">
        <v>360</v>
      </c>
      <c r="C628" s="2" t="s">
        <v>202</v>
      </c>
      <c r="D628" s="2" t="s">
        <v>199</v>
      </c>
      <c r="E628" s="2" t="s">
        <v>393</v>
      </c>
      <c r="F628" s="139">
        <v>9</v>
      </c>
      <c r="G628" s="140">
        <v>0</v>
      </c>
      <c r="H628" s="140">
        <v>0</v>
      </c>
      <c r="I628" s="140">
        <v>0</v>
      </c>
      <c r="J628" s="140">
        <f t="shared" si="9"/>
        <v>9</v>
      </c>
      <c r="K628" s="3"/>
    </row>
    <row r="629" spans="1:11" x14ac:dyDescent="0.3">
      <c r="A629" s="4" t="s">
        <v>1036</v>
      </c>
      <c r="B629" s="138" t="s">
        <v>360</v>
      </c>
      <c r="C629" s="2" t="s">
        <v>209</v>
      </c>
      <c r="D629" s="2" t="s">
        <v>207</v>
      </c>
      <c r="E629" s="2" t="s">
        <v>382</v>
      </c>
      <c r="F629" s="139">
        <v>5</v>
      </c>
      <c r="G629" s="140">
        <v>2</v>
      </c>
      <c r="H629" s="140">
        <v>0</v>
      </c>
      <c r="I629" s="140">
        <v>0</v>
      </c>
      <c r="J629" s="140">
        <f t="shared" si="9"/>
        <v>7</v>
      </c>
      <c r="K629" s="3"/>
    </row>
    <row r="630" spans="1:11" x14ac:dyDescent="0.3">
      <c r="A630" s="4" t="s">
        <v>1037</v>
      </c>
      <c r="B630" s="138" t="s">
        <v>360</v>
      </c>
      <c r="C630" s="2" t="s">
        <v>202</v>
      </c>
      <c r="D630" s="127" t="s">
        <v>203</v>
      </c>
      <c r="E630" s="2" t="s">
        <v>399</v>
      </c>
      <c r="F630" s="139">
        <v>0</v>
      </c>
      <c r="G630" s="140">
        <v>0</v>
      </c>
      <c r="H630" s="140">
        <v>0</v>
      </c>
      <c r="I630" s="140">
        <v>0</v>
      </c>
      <c r="J630" s="140">
        <f t="shared" si="9"/>
        <v>0</v>
      </c>
      <c r="K630" s="3"/>
    </row>
    <row r="631" spans="1:11" x14ac:dyDescent="0.3">
      <c r="A631" s="4" t="s">
        <v>1038</v>
      </c>
      <c r="B631" s="138" t="s">
        <v>360</v>
      </c>
      <c r="C631" s="2" t="s">
        <v>202</v>
      </c>
      <c r="D631" s="2" t="s">
        <v>199</v>
      </c>
      <c r="E631" s="2" t="s">
        <v>454</v>
      </c>
      <c r="F631" s="139">
        <v>1</v>
      </c>
      <c r="G631" s="140">
        <v>0</v>
      </c>
      <c r="H631" s="140">
        <v>0</v>
      </c>
      <c r="I631" s="140">
        <v>0</v>
      </c>
      <c r="J631" s="140">
        <f t="shared" si="9"/>
        <v>1</v>
      </c>
      <c r="K631" s="3"/>
    </row>
    <row r="632" spans="1:11" x14ac:dyDescent="0.3">
      <c r="A632" s="4" t="s">
        <v>1039</v>
      </c>
      <c r="B632" s="138" t="s">
        <v>360</v>
      </c>
      <c r="C632" s="2" t="s">
        <v>202</v>
      </c>
      <c r="D632" s="2" t="s">
        <v>199</v>
      </c>
      <c r="E632" s="2" t="s">
        <v>378</v>
      </c>
      <c r="F632" s="139">
        <v>0</v>
      </c>
      <c r="G632" s="140">
        <v>0</v>
      </c>
      <c r="H632" s="140">
        <v>0</v>
      </c>
      <c r="I632" s="140">
        <v>0</v>
      </c>
      <c r="J632" s="140">
        <f t="shared" si="9"/>
        <v>0</v>
      </c>
      <c r="K632" s="3"/>
    </row>
    <row r="633" spans="1:11" x14ac:dyDescent="0.3">
      <c r="A633" s="4" t="s">
        <v>1040</v>
      </c>
      <c r="B633" s="138" t="s">
        <v>360</v>
      </c>
      <c r="C633" s="2" t="s">
        <v>209</v>
      </c>
      <c r="D633" s="2" t="s">
        <v>197</v>
      </c>
      <c r="E633" s="2" t="s">
        <v>425</v>
      </c>
      <c r="F633" s="139">
        <v>12</v>
      </c>
      <c r="G633" s="140">
        <v>0</v>
      </c>
      <c r="H633" s="140">
        <v>0</v>
      </c>
      <c r="I633" s="140">
        <v>3</v>
      </c>
      <c r="J633" s="140">
        <f t="shared" si="9"/>
        <v>15</v>
      </c>
      <c r="K633" s="3"/>
    </row>
    <row r="634" spans="1:11" x14ac:dyDescent="0.3">
      <c r="A634" s="4" t="s">
        <v>1041</v>
      </c>
      <c r="B634" s="138" t="s">
        <v>360</v>
      </c>
      <c r="C634" s="2" t="s">
        <v>188</v>
      </c>
      <c r="D634" s="2" t="s">
        <v>196</v>
      </c>
      <c r="E634" s="2" t="s">
        <v>423</v>
      </c>
      <c r="F634" s="139">
        <v>12</v>
      </c>
      <c r="G634" s="140">
        <v>0</v>
      </c>
      <c r="H634" s="140">
        <v>0</v>
      </c>
      <c r="I634" s="140">
        <v>0</v>
      </c>
      <c r="J634" s="140">
        <f t="shared" si="9"/>
        <v>12</v>
      </c>
      <c r="K634" s="3"/>
    </row>
    <row r="635" spans="1:11" x14ac:dyDescent="0.3">
      <c r="A635" s="4" t="s">
        <v>1042</v>
      </c>
      <c r="B635" s="138" t="s">
        <v>360</v>
      </c>
      <c r="C635" s="2" t="s">
        <v>202</v>
      </c>
      <c r="D635" s="2" t="s">
        <v>204</v>
      </c>
      <c r="E635" s="2" t="s">
        <v>462</v>
      </c>
      <c r="F635" s="139">
        <v>3</v>
      </c>
      <c r="G635" s="140">
        <v>0</v>
      </c>
      <c r="H635" s="140">
        <v>0</v>
      </c>
      <c r="I635" s="140">
        <v>0</v>
      </c>
      <c r="J635" s="140">
        <f t="shared" si="9"/>
        <v>3</v>
      </c>
      <c r="K635" s="3"/>
    </row>
    <row r="636" spans="1:11" x14ac:dyDescent="0.3">
      <c r="A636" s="4" t="s">
        <v>1043</v>
      </c>
      <c r="B636" s="138" t="s">
        <v>363</v>
      </c>
      <c r="C636" s="2" t="s">
        <v>198</v>
      </c>
      <c r="D636" s="2" t="s">
        <v>199</v>
      </c>
      <c r="E636" s="2" t="s">
        <v>402</v>
      </c>
      <c r="F636" s="139">
        <v>0</v>
      </c>
      <c r="G636" s="140">
        <v>2</v>
      </c>
      <c r="H636" s="140">
        <v>0</v>
      </c>
      <c r="I636" s="140">
        <v>0</v>
      </c>
      <c r="J636" s="140">
        <f t="shared" si="9"/>
        <v>2</v>
      </c>
      <c r="K636" s="3"/>
    </row>
    <row r="637" spans="1:11" x14ac:dyDescent="0.3">
      <c r="A637" s="4" t="s">
        <v>1044</v>
      </c>
      <c r="B637" s="138" t="s">
        <v>360</v>
      </c>
      <c r="C637" s="2" t="s">
        <v>202</v>
      </c>
      <c r="D637" s="2" t="s">
        <v>204</v>
      </c>
      <c r="E637" s="2" t="s">
        <v>419</v>
      </c>
      <c r="F637" s="139">
        <v>9</v>
      </c>
      <c r="G637" s="140">
        <v>0</v>
      </c>
      <c r="H637" s="140">
        <v>0</v>
      </c>
      <c r="I637" s="140">
        <v>0</v>
      </c>
      <c r="J637" s="140">
        <f t="shared" si="9"/>
        <v>9</v>
      </c>
      <c r="K637" s="3"/>
    </row>
    <row r="638" spans="1:11" x14ac:dyDescent="0.3">
      <c r="A638" s="4" t="s">
        <v>1045</v>
      </c>
      <c r="B638" s="138" t="s">
        <v>363</v>
      </c>
      <c r="C638" s="2" t="s">
        <v>198</v>
      </c>
      <c r="D638" s="2" t="s">
        <v>199</v>
      </c>
      <c r="E638" s="2" t="s">
        <v>402</v>
      </c>
      <c r="F638" s="139">
        <v>13</v>
      </c>
      <c r="G638" s="140">
        <v>0</v>
      </c>
      <c r="H638" s="140">
        <v>0</v>
      </c>
      <c r="I638" s="140">
        <v>6</v>
      </c>
      <c r="J638" s="140">
        <f t="shared" si="9"/>
        <v>19</v>
      </c>
      <c r="K638" s="3"/>
    </row>
    <row r="639" spans="1:11" x14ac:dyDescent="0.3">
      <c r="A639" s="4" t="s">
        <v>1046</v>
      </c>
      <c r="B639" s="138" t="s">
        <v>360</v>
      </c>
      <c r="C639" s="2" t="s">
        <v>188</v>
      </c>
      <c r="D639" s="2" t="s">
        <v>196</v>
      </c>
      <c r="E639" s="2" t="s">
        <v>395</v>
      </c>
      <c r="F639" s="139">
        <v>14</v>
      </c>
      <c r="G639" s="140">
        <v>0</v>
      </c>
      <c r="H639" s="140">
        <v>0</v>
      </c>
      <c r="I639" s="140">
        <v>1</v>
      </c>
      <c r="J639" s="140">
        <f t="shared" si="9"/>
        <v>15</v>
      </c>
      <c r="K639" s="3"/>
    </row>
    <row r="640" spans="1:11" x14ac:dyDescent="0.3">
      <c r="A640" s="4" t="s">
        <v>1047</v>
      </c>
      <c r="B640" s="138" t="s">
        <v>360</v>
      </c>
      <c r="C640" s="2" t="s">
        <v>202</v>
      </c>
      <c r="D640" s="2" t="s">
        <v>204</v>
      </c>
      <c r="E640" s="2" t="s">
        <v>366</v>
      </c>
      <c r="F640" s="139">
        <v>3</v>
      </c>
      <c r="G640" s="140">
        <v>0</v>
      </c>
      <c r="H640" s="140">
        <v>0</v>
      </c>
      <c r="I640" s="140">
        <v>0</v>
      </c>
      <c r="J640" s="140">
        <f t="shared" si="9"/>
        <v>3</v>
      </c>
      <c r="K640" s="3"/>
    </row>
    <row r="641" spans="1:11" x14ac:dyDescent="0.3">
      <c r="A641" s="4" t="s">
        <v>1048</v>
      </c>
      <c r="B641" s="138" t="s">
        <v>360</v>
      </c>
      <c r="C641" s="2" t="s">
        <v>202</v>
      </c>
      <c r="D641" s="127" t="s">
        <v>203</v>
      </c>
      <c r="E641" s="2" t="s">
        <v>399</v>
      </c>
      <c r="F641" s="139">
        <v>4</v>
      </c>
      <c r="G641" s="140">
        <v>8</v>
      </c>
      <c r="H641" s="140">
        <v>0</v>
      </c>
      <c r="I641" s="140">
        <v>0</v>
      </c>
      <c r="J641" s="140">
        <f t="shared" si="9"/>
        <v>12</v>
      </c>
      <c r="K641" s="3"/>
    </row>
    <row r="642" spans="1:11" x14ac:dyDescent="0.3">
      <c r="A642" s="4" t="s">
        <v>1049</v>
      </c>
      <c r="B642" s="138" t="s">
        <v>360</v>
      </c>
      <c r="C642" s="2" t="s">
        <v>202</v>
      </c>
      <c r="D642" s="2" t="s">
        <v>194</v>
      </c>
      <c r="E642" s="2" t="s">
        <v>488</v>
      </c>
      <c r="F642" s="139">
        <v>15</v>
      </c>
      <c r="G642" s="140">
        <v>0</v>
      </c>
      <c r="H642" s="140">
        <v>0</v>
      </c>
      <c r="I642" s="140">
        <v>0</v>
      </c>
      <c r="J642" s="140">
        <f t="shared" si="9"/>
        <v>15</v>
      </c>
      <c r="K642" s="3"/>
    </row>
    <row r="643" spans="1:11" x14ac:dyDescent="0.3">
      <c r="A643" s="4" t="s">
        <v>1050</v>
      </c>
      <c r="B643" s="138" t="s">
        <v>360</v>
      </c>
      <c r="C643" s="2" t="s">
        <v>188</v>
      </c>
      <c r="D643" s="2" t="s">
        <v>189</v>
      </c>
      <c r="E643" s="2" t="s">
        <v>421</v>
      </c>
      <c r="F643" s="139">
        <v>17</v>
      </c>
      <c r="G643" s="140">
        <v>12</v>
      </c>
      <c r="H643" s="140">
        <v>0</v>
      </c>
      <c r="I643" s="140">
        <v>2</v>
      </c>
      <c r="J643" s="140">
        <f t="shared" si="9"/>
        <v>31</v>
      </c>
      <c r="K643" s="3"/>
    </row>
    <row r="644" spans="1:11" x14ac:dyDescent="0.3">
      <c r="A644" s="4" t="s">
        <v>1051</v>
      </c>
      <c r="B644" s="138" t="s">
        <v>360</v>
      </c>
      <c r="C644" s="2" t="s">
        <v>202</v>
      </c>
      <c r="D644" s="2" t="s">
        <v>199</v>
      </c>
      <c r="E644" s="2" t="s">
        <v>384</v>
      </c>
      <c r="F644" s="139">
        <v>16</v>
      </c>
      <c r="G644" s="140">
        <v>0</v>
      </c>
      <c r="H644" s="140">
        <v>0</v>
      </c>
      <c r="I644" s="140">
        <v>0</v>
      </c>
      <c r="J644" s="140">
        <f t="shared" si="9"/>
        <v>16</v>
      </c>
      <c r="K644" s="3"/>
    </row>
    <row r="645" spans="1:11" x14ac:dyDescent="0.3">
      <c r="A645" s="4" t="s">
        <v>1052</v>
      </c>
      <c r="B645" s="138" t="s">
        <v>360</v>
      </c>
      <c r="C645" s="2" t="s">
        <v>202</v>
      </c>
      <c r="D645" s="2" t="s">
        <v>204</v>
      </c>
      <c r="E645" s="2" t="s">
        <v>391</v>
      </c>
      <c r="F645" s="139">
        <v>1</v>
      </c>
      <c r="G645" s="140">
        <v>0</v>
      </c>
      <c r="H645" s="140">
        <v>0</v>
      </c>
      <c r="I645" s="140">
        <v>0</v>
      </c>
      <c r="J645" s="140">
        <f t="shared" ref="J645:J708" si="10">SUM(F645:I645)</f>
        <v>1</v>
      </c>
      <c r="K645" s="3"/>
    </row>
    <row r="646" spans="1:11" x14ac:dyDescent="0.3">
      <c r="A646" s="4" t="s">
        <v>1053</v>
      </c>
      <c r="B646" s="138" t="s">
        <v>360</v>
      </c>
      <c r="C646" s="2" t="s">
        <v>202</v>
      </c>
      <c r="D646" s="2" t="s">
        <v>204</v>
      </c>
      <c r="E646" s="2" t="s">
        <v>462</v>
      </c>
      <c r="F646" s="139">
        <v>9</v>
      </c>
      <c r="G646" s="140">
        <v>0</v>
      </c>
      <c r="H646" s="140">
        <v>0</v>
      </c>
      <c r="I646" s="140">
        <v>0</v>
      </c>
      <c r="J646" s="140">
        <f t="shared" si="10"/>
        <v>9</v>
      </c>
      <c r="K646" s="3"/>
    </row>
    <row r="647" spans="1:11" x14ac:dyDescent="0.3">
      <c r="A647" s="4" t="s">
        <v>1054</v>
      </c>
      <c r="B647" s="138" t="s">
        <v>363</v>
      </c>
      <c r="C647" s="2" t="s">
        <v>208</v>
      </c>
      <c r="D647" s="2" t="s">
        <v>194</v>
      </c>
      <c r="E647" s="2" t="s">
        <v>434</v>
      </c>
      <c r="F647" s="139">
        <v>3</v>
      </c>
      <c r="G647" s="140">
        <v>0</v>
      </c>
      <c r="H647" s="140">
        <v>0</v>
      </c>
      <c r="I647" s="140">
        <v>0</v>
      </c>
      <c r="J647" s="140">
        <f t="shared" si="10"/>
        <v>3</v>
      </c>
      <c r="K647" s="3"/>
    </row>
    <row r="648" spans="1:11" x14ac:dyDescent="0.3">
      <c r="A648" s="4" t="s">
        <v>1055</v>
      </c>
      <c r="B648" s="138" t="s">
        <v>360</v>
      </c>
      <c r="C648" s="2" t="s">
        <v>188</v>
      </c>
      <c r="D648" s="2" t="s">
        <v>196</v>
      </c>
      <c r="E648" s="2" t="s">
        <v>423</v>
      </c>
      <c r="F648" s="139">
        <v>0</v>
      </c>
      <c r="G648" s="140">
        <v>0</v>
      </c>
      <c r="H648" s="140">
        <v>0</v>
      </c>
      <c r="I648" s="140">
        <v>0</v>
      </c>
      <c r="J648" s="140">
        <f t="shared" si="10"/>
        <v>0</v>
      </c>
      <c r="K648" s="3"/>
    </row>
    <row r="649" spans="1:11" x14ac:dyDescent="0.3">
      <c r="A649" s="4" t="s">
        <v>1056</v>
      </c>
      <c r="B649" s="138" t="s">
        <v>363</v>
      </c>
      <c r="C649" s="2" t="s">
        <v>198</v>
      </c>
      <c r="D649" s="2" t="s">
        <v>200</v>
      </c>
      <c r="E649" s="2" t="s">
        <v>450</v>
      </c>
      <c r="F649" s="139">
        <v>12</v>
      </c>
      <c r="G649" s="140">
        <v>0</v>
      </c>
      <c r="H649" s="140">
        <v>0</v>
      </c>
      <c r="I649" s="140">
        <v>0</v>
      </c>
      <c r="J649" s="140">
        <f t="shared" si="10"/>
        <v>12</v>
      </c>
      <c r="K649" s="3"/>
    </row>
    <row r="650" spans="1:11" x14ac:dyDescent="0.3">
      <c r="A650" s="4" t="s">
        <v>1057</v>
      </c>
      <c r="B650" s="138" t="s">
        <v>360</v>
      </c>
      <c r="C650" s="2" t="s">
        <v>209</v>
      </c>
      <c r="D650" s="2" t="s">
        <v>197</v>
      </c>
      <c r="E650" s="2" t="s">
        <v>425</v>
      </c>
      <c r="F650" s="139">
        <v>15</v>
      </c>
      <c r="G650" s="140">
        <v>0</v>
      </c>
      <c r="H650" s="140">
        <v>3</v>
      </c>
      <c r="I650" s="140">
        <v>20</v>
      </c>
      <c r="J650" s="140">
        <f t="shared" si="10"/>
        <v>38</v>
      </c>
      <c r="K650" s="3"/>
    </row>
    <row r="651" spans="1:11" x14ac:dyDescent="0.3">
      <c r="A651" s="4" t="s">
        <v>1058</v>
      </c>
      <c r="B651" s="138" t="s">
        <v>360</v>
      </c>
      <c r="C651" s="2" t="s">
        <v>202</v>
      </c>
      <c r="D651" s="2" t="s">
        <v>204</v>
      </c>
      <c r="E651" s="2" t="s">
        <v>462</v>
      </c>
      <c r="F651" s="139">
        <v>6</v>
      </c>
      <c r="G651" s="140">
        <v>0</v>
      </c>
      <c r="H651" s="140">
        <v>0</v>
      </c>
      <c r="I651" s="140">
        <v>0</v>
      </c>
      <c r="J651" s="140">
        <f t="shared" si="10"/>
        <v>6</v>
      </c>
      <c r="K651" s="3"/>
    </row>
    <row r="652" spans="1:11" x14ac:dyDescent="0.3">
      <c r="A652" s="4" t="s">
        <v>1059</v>
      </c>
      <c r="B652" s="138" t="s">
        <v>360</v>
      </c>
      <c r="C652" s="2" t="s">
        <v>202</v>
      </c>
      <c r="D652" s="2" t="s">
        <v>199</v>
      </c>
      <c r="E652" s="2" t="s">
        <v>393</v>
      </c>
      <c r="F652" s="139">
        <v>8</v>
      </c>
      <c r="G652" s="140">
        <v>0</v>
      </c>
      <c r="H652" s="140">
        <v>0</v>
      </c>
      <c r="I652" s="140">
        <v>0</v>
      </c>
      <c r="J652" s="140">
        <f t="shared" si="10"/>
        <v>8</v>
      </c>
      <c r="K652" s="3"/>
    </row>
    <row r="653" spans="1:11" x14ac:dyDescent="0.3">
      <c r="A653" s="4" t="s">
        <v>1060</v>
      </c>
      <c r="B653" s="138" t="s">
        <v>363</v>
      </c>
      <c r="C653" s="2" t="s">
        <v>206</v>
      </c>
      <c r="D653" s="2" t="s">
        <v>197</v>
      </c>
      <c r="E653" s="2" t="s">
        <v>637</v>
      </c>
      <c r="F653" s="139">
        <v>1</v>
      </c>
      <c r="G653" s="140">
        <v>0</v>
      </c>
      <c r="H653" s="140">
        <v>0</v>
      </c>
      <c r="I653" s="140">
        <v>0</v>
      </c>
      <c r="J653" s="140">
        <f t="shared" si="10"/>
        <v>1</v>
      </c>
      <c r="K653" s="3"/>
    </row>
    <row r="654" spans="1:11" x14ac:dyDescent="0.3">
      <c r="A654" s="4" t="s">
        <v>1061</v>
      </c>
      <c r="B654" s="138" t="s">
        <v>360</v>
      </c>
      <c r="C654" s="2" t="s">
        <v>202</v>
      </c>
      <c r="D654" s="2" t="s">
        <v>199</v>
      </c>
      <c r="E654" s="2" t="s">
        <v>415</v>
      </c>
      <c r="F654" s="139">
        <v>1</v>
      </c>
      <c r="G654" s="140">
        <v>0</v>
      </c>
      <c r="H654" s="140">
        <v>0</v>
      </c>
      <c r="I654" s="140">
        <v>0</v>
      </c>
      <c r="J654" s="140">
        <f t="shared" si="10"/>
        <v>1</v>
      </c>
      <c r="K654" s="3"/>
    </row>
    <row r="655" spans="1:11" x14ac:dyDescent="0.3">
      <c r="A655" s="4" t="s">
        <v>1062</v>
      </c>
      <c r="B655" s="138" t="s">
        <v>360</v>
      </c>
      <c r="C655" s="2" t="s">
        <v>202</v>
      </c>
      <c r="D655" s="2" t="s">
        <v>199</v>
      </c>
      <c r="E655" s="2" t="s">
        <v>428</v>
      </c>
      <c r="F655" s="139">
        <v>4</v>
      </c>
      <c r="G655" s="140">
        <v>0</v>
      </c>
      <c r="H655" s="140">
        <v>0</v>
      </c>
      <c r="I655" s="140">
        <v>0</v>
      </c>
      <c r="J655" s="140">
        <f t="shared" si="10"/>
        <v>4</v>
      </c>
      <c r="K655" s="3"/>
    </row>
    <row r="656" spans="1:11" x14ac:dyDescent="0.3">
      <c r="A656" s="4" t="s">
        <v>1063</v>
      </c>
      <c r="B656" s="138" t="s">
        <v>363</v>
      </c>
      <c r="C656" s="2" t="s">
        <v>208</v>
      </c>
      <c r="D656" s="2" t="s">
        <v>197</v>
      </c>
      <c r="E656" s="2" t="s">
        <v>439</v>
      </c>
      <c r="F656" s="139">
        <v>13</v>
      </c>
      <c r="G656" s="140">
        <v>0</v>
      </c>
      <c r="H656" s="140">
        <v>0</v>
      </c>
      <c r="I656" s="140">
        <v>15</v>
      </c>
      <c r="J656" s="140">
        <f t="shared" si="10"/>
        <v>28</v>
      </c>
      <c r="K656" s="3"/>
    </row>
    <row r="657" spans="1:11" x14ac:dyDescent="0.3">
      <c r="A657" s="4" t="s">
        <v>1064</v>
      </c>
      <c r="B657" s="138" t="s">
        <v>360</v>
      </c>
      <c r="C657" s="2" t="s">
        <v>202</v>
      </c>
      <c r="D657" s="2" t="s">
        <v>204</v>
      </c>
      <c r="E657" s="2" t="s">
        <v>457</v>
      </c>
      <c r="F657" s="139">
        <v>17</v>
      </c>
      <c r="G657" s="140">
        <v>0</v>
      </c>
      <c r="H657" s="140">
        <v>0</v>
      </c>
      <c r="I657" s="140">
        <v>16</v>
      </c>
      <c r="J657" s="140">
        <f t="shared" si="10"/>
        <v>33</v>
      </c>
      <c r="K657" s="3"/>
    </row>
    <row r="658" spans="1:11" x14ac:dyDescent="0.3">
      <c r="A658" s="4" t="s">
        <v>1065</v>
      </c>
      <c r="B658" s="138" t="s">
        <v>360</v>
      </c>
      <c r="C658" s="2" t="s">
        <v>202</v>
      </c>
      <c r="D658" s="2" t="s">
        <v>199</v>
      </c>
      <c r="E658" s="2" t="s">
        <v>384</v>
      </c>
      <c r="F658" s="139">
        <v>10</v>
      </c>
      <c r="G658" s="140">
        <v>0</v>
      </c>
      <c r="H658" s="140">
        <v>0</v>
      </c>
      <c r="I658" s="140">
        <v>0</v>
      </c>
      <c r="J658" s="140">
        <f t="shared" si="10"/>
        <v>10</v>
      </c>
      <c r="K658" s="3"/>
    </row>
    <row r="659" spans="1:11" x14ac:dyDescent="0.3">
      <c r="A659" s="4" t="s">
        <v>1066</v>
      </c>
      <c r="B659" s="138" t="s">
        <v>360</v>
      </c>
      <c r="C659" s="2" t="s">
        <v>202</v>
      </c>
      <c r="D659" s="2" t="s">
        <v>199</v>
      </c>
      <c r="E659" s="2" t="s">
        <v>459</v>
      </c>
      <c r="F659" s="139">
        <v>12</v>
      </c>
      <c r="G659" s="140">
        <v>6</v>
      </c>
      <c r="H659" s="140">
        <v>0</v>
      </c>
      <c r="I659" s="140">
        <v>1</v>
      </c>
      <c r="J659" s="140">
        <f t="shared" si="10"/>
        <v>19</v>
      </c>
      <c r="K659" s="3"/>
    </row>
    <row r="660" spans="1:11" x14ac:dyDescent="0.3">
      <c r="A660" s="4" t="s">
        <v>1067</v>
      </c>
      <c r="B660" s="138" t="s">
        <v>360</v>
      </c>
      <c r="C660" s="2" t="s">
        <v>202</v>
      </c>
      <c r="D660" s="2" t="s">
        <v>204</v>
      </c>
      <c r="E660" s="2" t="s">
        <v>366</v>
      </c>
      <c r="F660" s="139">
        <v>3</v>
      </c>
      <c r="G660" s="140">
        <v>4</v>
      </c>
      <c r="H660" s="140">
        <v>0</v>
      </c>
      <c r="I660" s="140">
        <v>0</v>
      </c>
      <c r="J660" s="140">
        <f t="shared" si="10"/>
        <v>7</v>
      </c>
      <c r="K660" s="3"/>
    </row>
    <row r="661" spans="1:11" x14ac:dyDescent="0.3">
      <c r="A661" s="4" t="s">
        <v>1068</v>
      </c>
      <c r="B661" s="138" t="s">
        <v>360</v>
      </c>
      <c r="C661" s="2" t="s">
        <v>202</v>
      </c>
      <c r="D661" s="2" t="s">
        <v>199</v>
      </c>
      <c r="E661" s="2" t="s">
        <v>393</v>
      </c>
      <c r="F661" s="139">
        <v>1</v>
      </c>
      <c r="G661" s="140">
        <v>0</v>
      </c>
      <c r="H661" s="140">
        <v>0</v>
      </c>
      <c r="I661" s="140">
        <v>0</v>
      </c>
      <c r="J661" s="140">
        <f t="shared" si="10"/>
        <v>1</v>
      </c>
      <c r="K661" s="3"/>
    </row>
    <row r="662" spans="1:11" x14ac:dyDescent="0.3">
      <c r="A662" s="4" t="s">
        <v>1069</v>
      </c>
      <c r="B662" s="138" t="s">
        <v>360</v>
      </c>
      <c r="C662" s="2" t="s">
        <v>202</v>
      </c>
      <c r="D662" s="2" t="s">
        <v>199</v>
      </c>
      <c r="E662" s="2" t="s">
        <v>473</v>
      </c>
      <c r="F662" s="139">
        <v>14</v>
      </c>
      <c r="G662" s="140">
        <v>0</v>
      </c>
      <c r="H662" s="140">
        <v>0</v>
      </c>
      <c r="I662" s="140">
        <v>1</v>
      </c>
      <c r="J662" s="140">
        <f t="shared" si="10"/>
        <v>15</v>
      </c>
      <c r="K662" s="3"/>
    </row>
    <row r="663" spans="1:11" x14ac:dyDescent="0.3">
      <c r="A663" s="4" t="s">
        <v>1070</v>
      </c>
      <c r="B663" s="138" t="s">
        <v>360</v>
      </c>
      <c r="C663" s="2" t="s">
        <v>202</v>
      </c>
      <c r="D663" s="2" t="s">
        <v>197</v>
      </c>
      <c r="E663" s="2" t="s">
        <v>580</v>
      </c>
      <c r="F663" s="139">
        <v>9</v>
      </c>
      <c r="G663" s="140">
        <v>16</v>
      </c>
      <c r="H663" s="140">
        <v>0</v>
      </c>
      <c r="I663" s="140">
        <v>0</v>
      </c>
      <c r="J663" s="140">
        <f t="shared" si="10"/>
        <v>25</v>
      </c>
      <c r="K663" s="3"/>
    </row>
    <row r="664" spans="1:11" x14ac:dyDescent="0.3">
      <c r="A664" s="4" t="s">
        <v>1071</v>
      </c>
      <c r="B664" s="138" t="s">
        <v>360</v>
      </c>
      <c r="C664" s="2" t="s">
        <v>202</v>
      </c>
      <c r="D664" s="2" t="s">
        <v>204</v>
      </c>
      <c r="E664" s="2" t="s">
        <v>419</v>
      </c>
      <c r="F664" s="139">
        <v>6</v>
      </c>
      <c r="G664" s="140">
        <v>20</v>
      </c>
      <c r="H664" s="140">
        <v>0</v>
      </c>
      <c r="I664" s="140">
        <v>0</v>
      </c>
      <c r="J664" s="140">
        <f t="shared" si="10"/>
        <v>26</v>
      </c>
      <c r="K664" s="3"/>
    </row>
    <row r="665" spans="1:11" x14ac:dyDescent="0.3">
      <c r="A665" s="4" t="s">
        <v>1072</v>
      </c>
      <c r="B665" s="138" t="s">
        <v>363</v>
      </c>
      <c r="C665" s="2" t="s">
        <v>208</v>
      </c>
      <c r="D665" s="2" t="s">
        <v>195</v>
      </c>
      <c r="E665" s="2" t="s">
        <v>500</v>
      </c>
      <c r="F665" s="139">
        <v>10</v>
      </c>
      <c r="G665" s="140">
        <v>0</v>
      </c>
      <c r="H665" s="140">
        <v>0</v>
      </c>
      <c r="I665" s="140">
        <v>0</v>
      </c>
      <c r="J665" s="140">
        <f t="shared" si="10"/>
        <v>10</v>
      </c>
      <c r="K665" s="3"/>
    </row>
    <row r="666" spans="1:11" x14ac:dyDescent="0.3">
      <c r="A666" s="4" t="s">
        <v>1073</v>
      </c>
      <c r="B666" s="138" t="s">
        <v>360</v>
      </c>
      <c r="C666" s="2" t="s">
        <v>202</v>
      </c>
      <c r="D666" s="2" t="s">
        <v>204</v>
      </c>
      <c r="E666" s="2" t="s">
        <v>361</v>
      </c>
      <c r="F666" s="139">
        <v>5</v>
      </c>
      <c r="G666" s="140">
        <v>0</v>
      </c>
      <c r="H666" s="140">
        <v>0</v>
      </c>
      <c r="I666" s="140">
        <v>0</v>
      </c>
      <c r="J666" s="140">
        <f t="shared" si="10"/>
        <v>5</v>
      </c>
      <c r="K666" s="3"/>
    </row>
    <row r="667" spans="1:11" x14ac:dyDescent="0.3">
      <c r="A667" s="4" t="s">
        <v>1074</v>
      </c>
      <c r="B667" s="138" t="s">
        <v>360</v>
      </c>
      <c r="C667" s="2" t="s">
        <v>188</v>
      </c>
      <c r="D667" s="2" t="s">
        <v>189</v>
      </c>
      <c r="E667" s="2" t="s">
        <v>421</v>
      </c>
      <c r="F667" s="139">
        <v>2</v>
      </c>
      <c r="G667" s="140">
        <v>0</v>
      </c>
      <c r="H667" s="140">
        <v>0</v>
      </c>
      <c r="I667" s="140">
        <v>0</v>
      </c>
      <c r="J667" s="140">
        <f t="shared" si="10"/>
        <v>2</v>
      </c>
      <c r="K667" s="3"/>
    </row>
    <row r="668" spans="1:11" x14ac:dyDescent="0.3">
      <c r="A668" s="4" t="s">
        <v>1075</v>
      </c>
      <c r="B668" s="138" t="s">
        <v>360</v>
      </c>
      <c r="C668" s="2" t="s">
        <v>188</v>
      </c>
      <c r="D668" s="2" t="s">
        <v>195</v>
      </c>
      <c r="E668" s="2" t="s">
        <v>447</v>
      </c>
      <c r="F668" s="139">
        <v>1</v>
      </c>
      <c r="G668" s="140">
        <v>2</v>
      </c>
      <c r="H668" s="140">
        <v>0</v>
      </c>
      <c r="I668" s="140">
        <v>0</v>
      </c>
      <c r="J668" s="140">
        <f t="shared" si="10"/>
        <v>3</v>
      </c>
      <c r="K668" s="3"/>
    </row>
    <row r="669" spans="1:11" x14ac:dyDescent="0.3">
      <c r="A669" s="4" t="s">
        <v>1076</v>
      </c>
      <c r="B669" s="138" t="s">
        <v>360</v>
      </c>
      <c r="C669" s="2" t="s">
        <v>202</v>
      </c>
      <c r="D669" s="2" t="s">
        <v>204</v>
      </c>
      <c r="E669" s="2" t="s">
        <v>457</v>
      </c>
      <c r="F669" s="139">
        <v>15</v>
      </c>
      <c r="G669" s="140">
        <v>6</v>
      </c>
      <c r="H669" s="140">
        <v>0</v>
      </c>
      <c r="I669" s="140">
        <v>0</v>
      </c>
      <c r="J669" s="140">
        <f t="shared" si="10"/>
        <v>21</v>
      </c>
      <c r="K669" s="3"/>
    </row>
    <row r="670" spans="1:11" x14ac:dyDescent="0.3">
      <c r="A670" s="4" t="s">
        <v>1077</v>
      </c>
      <c r="B670" s="138" t="s">
        <v>360</v>
      </c>
      <c r="C670" s="2" t="s">
        <v>188</v>
      </c>
      <c r="D670" s="2" t="s">
        <v>196</v>
      </c>
      <c r="E670" s="2" t="s">
        <v>395</v>
      </c>
      <c r="F670" s="139">
        <v>12</v>
      </c>
      <c r="G670" s="140">
        <v>0</v>
      </c>
      <c r="H670" s="140">
        <v>0</v>
      </c>
      <c r="I670" s="140">
        <v>0</v>
      </c>
      <c r="J670" s="140">
        <f t="shared" si="10"/>
        <v>12</v>
      </c>
      <c r="K670" s="3"/>
    </row>
    <row r="671" spans="1:11" x14ac:dyDescent="0.3">
      <c r="A671" s="4" t="s">
        <v>1078</v>
      </c>
      <c r="B671" s="138" t="s">
        <v>363</v>
      </c>
      <c r="C671" s="2" t="s">
        <v>206</v>
      </c>
      <c r="D671" s="2" t="s">
        <v>189</v>
      </c>
      <c r="E671" s="2" t="s">
        <v>541</v>
      </c>
      <c r="F671" s="139">
        <v>4</v>
      </c>
      <c r="G671" s="140">
        <v>4</v>
      </c>
      <c r="H671" s="140">
        <v>0</v>
      </c>
      <c r="I671" s="140">
        <v>0</v>
      </c>
      <c r="J671" s="140">
        <f t="shared" si="10"/>
        <v>8</v>
      </c>
      <c r="K671" s="3"/>
    </row>
    <row r="672" spans="1:11" x14ac:dyDescent="0.3">
      <c r="A672" s="4" t="s">
        <v>1079</v>
      </c>
      <c r="B672" s="138" t="s">
        <v>360</v>
      </c>
      <c r="C672" s="2" t="s">
        <v>202</v>
      </c>
      <c r="D672" s="2" t="s">
        <v>200</v>
      </c>
      <c r="E672" s="2" t="s">
        <v>417</v>
      </c>
      <c r="F672" s="139">
        <v>2</v>
      </c>
      <c r="G672" s="140">
        <v>0</v>
      </c>
      <c r="H672" s="140">
        <v>0</v>
      </c>
      <c r="I672" s="140">
        <v>0</v>
      </c>
      <c r="J672" s="140">
        <f t="shared" si="10"/>
        <v>2</v>
      </c>
      <c r="K672" s="3"/>
    </row>
    <row r="673" spans="1:11" x14ac:dyDescent="0.3">
      <c r="A673" s="4" t="s">
        <v>1080</v>
      </c>
      <c r="B673" s="138" t="s">
        <v>360</v>
      </c>
      <c r="C673" s="2" t="s">
        <v>188</v>
      </c>
      <c r="D673" s="2" t="s">
        <v>196</v>
      </c>
      <c r="E673" s="2" t="s">
        <v>423</v>
      </c>
      <c r="F673" s="139">
        <v>6</v>
      </c>
      <c r="G673" s="140">
        <v>0</v>
      </c>
      <c r="H673" s="140">
        <v>0</v>
      </c>
      <c r="I673" s="140">
        <v>0</v>
      </c>
      <c r="J673" s="140">
        <f t="shared" si="10"/>
        <v>6</v>
      </c>
      <c r="K673" s="3"/>
    </row>
    <row r="674" spans="1:11" x14ac:dyDescent="0.3">
      <c r="A674" s="4" t="s">
        <v>1081</v>
      </c>
      <c r="B674" s="138" t="s">
        <v>363</v>
      </c>
      <c r="C674" s="2" t="s">
        <v>206</v>
      </c>
      <c r="D674" s="2" t="s">
        <v>189</v>
      </c>
      <c r="E674" s="2" t="s">
        <v>541</v>
      </c>
      <c r="F674" s="139">
        <v>3</v>
      </c>
      <c r="G674" s="140">
        <v>0</v>
      </c>
      <c r="H674" s="140">
        <v>0</v>
      </c>
      <c r="I674" s="140">
        <v>0</v>
      </c>
      <c r="J674" s="140">
        <f t="shared" si="10"/>
        <v>3</v>
      </c>
      <c r="K674" s="3"/>
    </row>
    <row r="675" spans="1:11" x14ac:dyDescent="0.3">
      <c r="A675" s="4" t="s">
        <v>1082</v>
      </c>
      <c r="B675" s="138" t="s">
        <v>360</v>
      </c>
      <c r="C675" s="2" t="s">
        <v>188</v>
      </c>
      <c r="D675" s="2" t="s">
        <v>195</v>
      </c>
      <c r="E675" s="2" t="s">
        <v>447</v>
      </c>
      <c r="F675" s="139">
        <v>10</v>
      </c>
      <c r="G675" s="140">
        <v>0</v>
      </c>
      <c r="H675" s="140">
        <v>0</v>
      </c>
      <c r="I675" s="140">
        <v>0</v>
      </c>
      <c r="J675" s="140">
        <f t="shared" si="10"/>
        <v>10</v>
      </c>
      <c r="K675" s="3"/>
    </row>
    <row r="676" spans="1:11" x14ac:dyDescent="0.3">
      <c r="A676" s="4" t="s">
        <v>1083</v>
      </c>
      <c r="B676" s="138" t="s">
        <v>360</v>
      </c>
      <c r="C676" s="2" t="s">
        <v>202</v>
      </c>
      <c r="D676" s="2" t="s">
        <v>199</v>
      </c>
      <c r="E676" s="2" t="s">
        <v>393</v>
      </c>
      <c r="F676" s="139">
        <v>2</v>
      </c>
      <c r="G676" s="140">
        <v>0</v>
      </c>
      <c r="H676" s="140">
        <v>0</v>
      </c>
      <c r="I676" s="140">
        <v>0</v>
      </c>
      <c r="J676" s="140">
        <f t="shared" si="10"/>
        <v>2</v>
      </c>
      <c r="K676" s="3"/>
    </row>
    <row r="677" spans="1:11" x14ac:dyDescent="0.3">
      <c r="A677" s="4" t="s">
        <v>1084</v>
      </c>
      <c r="B677" s="138" t="s">
        <v>363</v>
      </c>
      <c r="C677" s="2" t="s">
        <v>198</v>
      </c>
      <c r="D677" s="2" t="s">
        <v>199</v>
      </c>
      <c r="E677" s="2" t="s">
        <v>380</v>
      </c>
      <c r="F677" s="139">
        <v>13</v>
      </c>
      <c r="G677" s="140">
        <v>0</v>
      </c>
      <c r="H677" s="140">
        <v>0</v>
      </c>
      <c r="I677" s="140">
        <v>0</v>
      </c>
      <c r="J677" s="140">
        <f t="shared" si="10"/>
        <v>13</v>
      </c>
      <c r="K677" s="3"/>
    </row>
    <row r="678" spans="1:11" x14ac:dyDescent="0.3">
      <c r="A678" s="4" t="s">
        <v>1085</v>
      </c>
      <c r="B678" s="138" t="s">
        <v>360</v>
      </c>
      <c r="C678" s="2" t="s">
        <v>202</v>
      </c>
      <c r="D678" s="2" t="s">
        <v>200</v>
      </c>
      <c r="E678" s="2" t="s">
        <v>417</v>
      </c>
      <c r="F678" s="139">
        <v>2</v>
      </c>
      <c r="G678" s="140">
        <v>0</v>
      </c>
      <c r="H678" s="140">
        <v>0</v>
      </c>
      <c r="I678" s="140">
        <v>0</v>
      </c>
      <c r="J678" s="140">
        <f t="shared" si="10"/>
        <v>2</v>
      </c>
      <c r="K678" s="3"/>
    </row>
    <row r="679" spans="1:11" x14ac:dyDescent="0.3">
      <c r="A679" s="4" t="s">
        <v>1086</v>
      </c>
      <c r="B679" s="138" t="s">
        <v>360</v>
      </c>
      <c r="C679" s="2" t="s">
        <v>202</v>
      </c>
      <c r="D679" s="2" t="s">
        <v>199</v>
      </c>
      <c r="E679" s="2" t="s">
        <v>428</v>
      </c>
      <c r="F679" s="139">
        <v>16</v>
      </c>
      <c r="G679" s="140">
        <v>0</v>
      </c>
      <c r="H679" s="140">
        <v>0</v>
      </c>
      <c r="I679" s="140">
        <v>0</v>
      </c>
      <c r="J679" s="140">
        <f t="shared" si="10"/>
        <v>16</v>
      </c>
      <c r="K679" s="3"/>
    </row>
    <row r="680" spans="1:11" x14ac:dyDescent="0.3">
      <c r="A680" s="4" t="s">
        <v>1087</v>
      </c>
      <c r="B680" s="138" t="s">
        <v>360</v>
      </c>
      <c r="C680" s="2" t="s">
        <v>202</v>
      </c>
      <c r="D680" s="2" t="s">
        <v>204</v>
      </c>
      <c r="E680" s="2" t="s">
        <v>471</v>
      </c>
      <c r="F680" s="139">
        <v>3</v>
      </c>
      <c r="G680" s="140">
        <v>0</v>
      </c>
      <c r="H680" s="140">
        <v>0</v>
      </c>
      <c r="I680" s="140">
        <v>0</v>
      </c>
      <c r="J680" s="140">
        <f t="shared" si="10"/>
        <v>3</v>
      </c>
      <c r="K680" s="3"/>
    </row>
    <row r="681" spans="1:11" x14ac:dyDescent="0.3">
      <c r="A681" s="4" t="s">
        <v>1088</v>
      </c>
      <c r="B681" s="138" t="s">
        <v>360</v>
      </c>
      <c r="C681" s="2" t="s">
        <v>202</v>
      </c>
      <c r="D681" s="2" t="s">
        <v>204</v>
      </c>
      <c r="E681" s="2" t="s">
        <v>457</v>
      </c>
      <c r="F681" s="139">
        <v>5</v>
      </c>
      <c r="G681" s="140">
        <v>0</v>
      </c>
      <c r="H681" s="140">
        <v>0</v>
      </c>
      <c r="I681" s="140">
        <v>0</v>
      </c>
      <c r="J681" s="140">
        <f t="shared" si="10"/>
        <v>5</v>
      </c>
      <c r="K681" s="3"/>
    </row>
    <row r="682" spans="1:11" x14ac:dyDescent="0.3">
      <c r="A682" s="4" t="s">
        <v>1089</v>
      </c>
      <c r="B682" s="138" t="s">
        <v>360</v>
      </c>
      <c r="C682" s="2" t="s">
        <v>202</v>
      </c>
      <c r="D682" s="2" t="s">
        <v>204</v>
      </c>
      <c r="E682" s="2" t="s">
        <v>457</v>
      </c>
      <c r="F682" s="139">
        <v>5</v>
      </c>
      <c r="G682" s="140">
        <v>0</v>
      </c>
      <c r="H682" s="140">
        <v>0</v>
      </c>
      <c r="I682" s="140">
        <v>0</v>
      </c>
      <c r="J682" s="140">
        <f t="shared" si="10"/>
        <v>5</v>
      </c>
      <c r="K682" s="3"/>
    </row>
    <row r="683" spans="1:11" x14ac:dyDescent="0.3">
      <c r="A683" s="4" t="s">
        <v>1090</v>
      </c>
      <c r="B683" s="138" t="s">
        <v>360</v>
      </c>
      <c r="C683" s="2" t="s">
        <v>202</v>
      </c>
      <c r="D683" s="2" t="s">
        <v>204</v>
      </c>
      <c r="E683" s="2" t="s">
        <v>419</v>
      </c>
      <c r="F683" s="139">
        <v>11</v>
      </c>
      <c r="G683" s="140">
        <v>0</v>
      </c>
      <c r="H683" s="140">
        <v>0</v>
      </c>
      <c r="I683" s="140">
        <v>0</v>
      </c>
      <c r="J683" s="140">
        <f t="shared" si="10"/>
        <v>11</v>
      </c>
      <c r="K683" s="3"/>
    </row>
    <row r="684" spans="1:11" x14ac:dyDescent="0.3">
      <c r="A684" s="4" t="s">
        <v>1091</v>
      </c>
      <c r="B684" s="138" t="s">
        <v>360</v>
      </c>
      <c r="C684" s="2" t="s">
        <v>202</v>
      </c>
      <c r="D684" s="2" t="s">
        <v>204</v>
      </c>
      <c r="E684" s="2" t="s">
        <v>462</v>
      </c>
      <c r="F684" s="139">
        <v>0</v>
      </c>
      <c r="G684" s="140">
        <v>0</v>
      </c>
      <c r="H684" s="140">
        <v>0</v>
      </c>
      <c r="I684" s="140">
        <v>0</v>
      </c>
      <c r="J684" s="140">
        <f t="shared" si="10"/>
        <v>0</v>
      </c>
      <c r="K684" s="3"/>
    </row>
    <row r="685" spans="1:11" x14ac:dyDescent="0.3">
      <c r="A685" s="4" t="s">
        <v>1092</v>
      </c>
      <c r="B685" s="138" t="s">
        <v>363</v>
      </c>
      <c r="C685" s="2" t="s">
        <v>208</v>
      </c>
      <c r="D685" s="2" t="s">
        <v>195</v>
      </c>
      <c r="E685" s="2" t="s">
        <v>500</v>
      </c>
      <c r="F685" s="139">
        <v>5</v>
      </c>
      <c r="G685" s="140">
        <v>0</v>
      </c>
      <c r="H685" s="140">
        <v>0</v>
      </c>
      <c r="I685" s="140">
        <v>0</v>
      </c>
      <c r="J685" s="140">
        <f t="shared" si="10"/>
        <v>5</v>
      </c>
      <c r="K685" s="3"/>
    </row>
    <row r="686" spans="1:11" x14ac:dyDescent="0.3">
      <c r="A686" s="4" t="s">
        <v>1093</v>
      </c>
      <c r="B686" s="138" t="s">
        <v>360</v>
      </c>
      <c r="C686" s="2" t="s">
        <v>202</v>
      </c>
      <c r="D686" s="2" t="s">
        <v>204</v>
      </c>
      <c r="E686" s="2" t="s">
        <v>412</v>
      </c>
      <c r="F686" s="139">
        <v>0</v>
      </c>
      <c r="G686" s="140">
        <v>4</v>
      </c>
      <c r="H686" s="140">
        <v>0</v>
      </c>
      <c r="I686" s="140">
        <v>0</v>
      </c>
      <c r="J686" s="140">
        <f t="shared" si="10"/>
        <v>4</v>
      </c>
      <c r="K686" s="3"/>
    </row>
    <row r="687" spans="1:11" x14ac:dyDescent="0.3">
      <c r="A687" s="4" t="s">
        <v>1094</v>
      </c>
      <c r="B687" s="138" t="s">
        <v>478</v>
      </c>
      <c r="C687" s="127" t="s">
        <v>205</v>
      </c>
      <c r="D687" s="2" t="s">
        <v>189</v>
      </c>
      <c r="E687" s="2" t="s">
        <v>498</v>
      </c>
      <c r="F687" s="139">
        <v>8</v>
      </c>
      <c r="G687" s="140">
        <v>0</v>
      </c>
      <c r="H687" s="140">
        <v>0</v>
      </c>
      <c r="I687" s="140">
        <v>0</v>
      </c>
      <c r="J687" s="140">
        <f t="shared" si="10"/>
        <v>8</v>
      </c>
      <c r="K687" s="3"/>
    </row>
    <row r="688" spans="1:11" x14ac:dyDescent="0.3">
      <c r="A688" s="4" t="s">
        <v>1095</v>
      </c>
      <c r="B688" s="138" t="s">
        <v>363</v>
      </c>
      <c r="C688" s="2" t="s">
        <v>198</v>
      </c>
      <c r="D688" s="2" t="s">
        <v>199</v>
      </c>
      <c r="E688" s="2" t="s">
        <v>432</v>
      </c>
      <c r="F688" s="139">
        <v>3</v>
      </c>
      <c r="G688" s="140">
        <v>0</v>
      </c>
      <c r="H688" s="140">
        <v>0</v>
      </c>
      <c r="I688" s="140">
        <v>0</v>
      </c>
      <c r="J688" s="140">
        <f t="shared" si="10"/>
        <v>3</v>
      </c>
      <c r="K688" s="3"/>
    </row>
    <row r="689" spans="1:11" x14ac:dyDescent="0.3">
      <c r="A689" s="4" t="s">
        <v>1096</v>
      </c>
      <c r="B689" s="138" t="s">
        <v>360</v>
      </c>
      <c r="C689" s="2" t="s">
        <v>202</v>
      </c>
      <c r="D689" s="2" t="s">
        <v>199</v>
      </c>
      <c r="E689" s="2" t="s">
        <v>378</v>
      </c>
      <c r="F689" s="139">
        <v>3</v>
      </c>
      <c r="G689" s="140">
        <v>0</v>
      </c>
      <c r="H689" s="140">
        <v>0</v>
      </c>
      <c r="I689" s="140">
        <v>0</v>
      </c>
      <c r="J689" s="140">
        <f t="shared" si="10"/>
        <v>3</v>
      </c>
      <c r="K689" s="3"/>
    </row>
    <row r="690" spans="1:11" x14ac:dyDescent="0.3">
      <c r="A690" s="4" t="s">
        <v>1097</v>
      </c>
      <c r="B690" s="138" t="s">
        <v>363</v>
      </c>
      <c r="C690" s="2" t="s">
        <v>206</v>
      </c>
      <c r="D690" s="2" t="s">
        <v>197</v>
      </c>
      <c r="E690" s="2" t="s">
        <v>637</v>
      </c>
      <c r="F690" s="139">
        <v>12</v>
      </c>
      <c r="G690" s="140">
        <v>0</v>
      </c>
      <c r="H690" s="140">
        <v>0</v>
      </c>
      <c r="I690" s="140">
        <v>0</v>
      </c>
      <c r="J690" s="140">
        <f t="shared" si="10"/>
        <v>12</v>
      </c>
      <c r="K690" s="3"/>
    </row>
    <row r="691" spans="1:11" x14ac:dyDescent="0.3">
      <c r="A691" s="4" t="s">
        <v>1098</v>
      </c>
      <c r="B691" s="138" t="s">
        <v>360</v>
      </c>
      <c r="C691" s="2" t="s">
        <v>202</v>
      </c>
      <c r="D691" s="2" t="s">
        <v>200</v>
      </c>
      <c r="E691" s="2" t="s">
        <v>707</v>
      </c>
      <c r="F691" s="139">
        <v>16</v>
      </c>
      <c r="G691" s="140">
        <v>0</v>
      </c>
      <c r="H691" s="140">
        <v>0</v>
      </c>
      <c r="I691" s="140">
        <v>0</v>
      </c>
      <c r="J691" s="140">
        <f t="shared" si="10"/>
        <v>16</v>
      </c>
      <c r="K691" s="3"/>
    </row>
    <row r="692" spans="1:11" x14ac:dyDescent="0.3">
      <c r="A692" s="4" t="s">
        <v>1099</v>
      </c>
      <c r="B692" s="138" t="s">
        <v>363</v>
      </c>
      <c r="C692" s="2" t="s">
        <v>206</v>
      </c>
      <c r="D692" s="2" t="s">
        <v>189</v>
      </c>
      <c r="E692" s="2" t="s">
        <v>541</v>
      </c>
      <c r="F692" s="139">
        <v>16</v>
      </c>
      <c r="G692" s="140">
        <v>0</v>
      </c>
      <c r="H692" s="140">
        <v>0</v>
      </c>
      <c r="I692" s="140">
        <v>1</v>
      </c>
      <c r="J692" s="140">
        <f t="shared" si="10"/>
        <v>17</v>
      </c>
      <c r="K692" s="3"/>
    </row>
    <row r="693" spans="1:11" x14ac:dyDescent="0.3">
      <c r="A693" s="4" t="s">
        <v>1100</v>
      </c>
      <c r="B693" s="138" t="s">
        <v>360</v>
      </c>
      <c r="C693" s="2" t="s">
        <v>202</v>
      </c>
      <c r="D693" s="2" t="s">
        <v>204</v>
      </c>
      <c r="E693" s="2" t="s">
        <v>471</v>
      </c>
      <c r="F693" s="139">
        <v>3</v>
      </c>
      <c r="G693" s="140">
        <v>0</v>
      </c>
      <c r="H693" s="140">
        <v>0</v>
      </c>
      <c r="I693" s="140">
        <v>0</v>
      </c>
      <c r="J693" s="140">
        <f t="shared" si="10"/>
        <v>3</v>
      </c>
      <c r="K693" s="3"/>
    </row>
    <row r="694" spans="1:11" x14ac:dyDescent="0.3">
      <c r="A694" s="4" t="s">
        <v>1101</v>
      </c>
      <c r="B694" s="138" t="s">
        <v>360</v>
      </c>
      <c r="C694" s="2" t="s">
        <v>202</v>
      </c>
      <c r="D694" s="2" t="s">
        <v>204</v>
      </c>
      <c r="E694" s="2" t="s">
        <v>370</v>
      </c>
      <c r="F694" s="139">
        <v>3</v>
      </c>
      <c r="G694" s="140">
        <v>8</v>
      </c>
      <c r="H694" s="140">
        <v>0</v>
      </c>
      <c r="I694" s="140">
        <v>0</v>
      </c>
      <c r="J694" s="140">
        <f t="shared" si="10"/>
        <v>11</v>
      </c>
      <c r="K694" s="3"/>
    </row>
    <row r="695" spans="1:11" x14ac:dyDescent="0.3">
      <c r="A695" s="4" t="s">
        <v>1102</v>
      </c>
      <c r="B695" s="138" t="s">
        <v>478</v>
      </c>
      <c r="C695" s="127" t="s">
        <v>205</v>
      </c>
      <c r="D695" s="2" t="s">
        <v>196</v>
      </c>
      <c r="E695" s="2" t="s">
        <v>479</v>
      </c>
      <c r="F695" s="139">
        <v>3</v>
      </c>
      <c r="G695" s="140">
        <v>0</v>
      </c>
      <c r="H695" s="140">
        <v>0</v>
      </c>
      <c r="I695" s="140">
        <v>0</v>
      </c>
      <c r="J695" s="140">
        <f t="shared" si="10"/>
        <v>3</v>
      </c>
      <c r="K695" s="3"/>
    </row>
    <row r="696" spans="1:11" x14ac:dyDescent="0.3">
      <c r="A696" s="4" t="s">
        <v>1103</v>
      </c>
      <c r="B696" s="138" t="s">
        <v>360</v>
      </c>
      <c r="C696" s="2" t="s">
        <v>202</v>
      </c>
      <c r="D696" s="2" t="s">
        <v>199</v>
      </c>
      <c r="E696" s="2" t="s">
        <v>454</v>
      </c>
      <c r="F696" s="139">
        <v>1</v>
      </c>
      <c r="G696" s="140">
        <v>0</v>
      </c>
      <c r="H696" s="140">
        <v>0</v>
      </c>
      <c r="I696" s="140">
        <v>0</v>
      </c>
      <c r="J696" s="140">
        <f t="shared" si="10"/>
        <v>1</v>
      </c>
      <c r="K696" s="3"/>
    </row>
    <row r="697" spans="1:11" x14ac:dyDescent="0.3">
      <c r="A697" s="4" t="s">
        <v>1104</v>
      </c>
      <c r="B697" s="138" t="s">
        <v>363</v>
      </c>
      <c r="C697" s="2" t="s">
        <v>198</v>
      </c>
      <c r="D697" s="2" t="s">
        <v>199</v>
      </c>
      <c r="E697" s="2" t="s">
        <v>432</v>
      </c>
      <c r="F697" s="139">
        <v>0</v>
      </c>
      <c r="G697" s="140">
        <v>0</v>
      </c>
      <c r="H697" s="140">
        <v>0</v>
      </c>
      <c r="I697" s="140">
        <v>0</v>
      </c>
      <c r="J697" s="140">
        <f t="shared" si="10"/>
        <v>0</v>
      </c>
      <c r="K697" s="3"/>
    </row>
    <row r="698" spans="1:11" x14ac:dyDescent="0.3">
      <c r="A698" s="4" t="s">
        <v>1105</v>
      </c>
      <c r="B698" s="138" t="s">
        <v>360</v>
      </c>
      <c r="C698" s="2" t="s">
        <v>188</v>
      </c>
      <c r="D698" s="2" t="s">
        <v>195</v>
      </c>
      <c r="E698" s="2" t="s">
        <v>447</v>
      </c>
      <c r="F698" s="139">
        <v>1</v>
      </c>
      <c r="G698" s="140">
        <v>0</v>
      </c>
      <c r="H698" s="140">
        <v>0</v>
      </c>
      <c r="I698" s="140">
        <v>0</v>
      </c>
      <c r="J698" s="140">
        <f t="shared" si="10"/>
        <v>1</v>
      </c>
      <c r="K698" s="3"/>
    </row>
    <row r="699" spans="1:11" x14ac:dyDescent="0.3">
      <c r="A699" s="4" t="s">
        <v>1106</v>
      </c>
      <c r="B699" s="138" t="s">
        <v>360</v>
      </c>
      <c r="C699" s="2" t="s">
        <v>209</v>
      </c>
      <c r="D699" s="2" t="s">
        <v>207</v>
      </c>
      <c r="E699" s="2" t="s">
        <v>382</v>
      </c>
      <c r="F699" s="139">
        <v>10</v>
      </c>
      <c r="G699" s="140">
        <v>0</v>
      </c>
      <c r="H699" s="140">
        <v>0</v>
      </c>
      <c r="I699" s="140">
        <v>0</v>
      </c>
      <c r="J699" s="140">
        <f t="shared" si="10"/>
        <v>10</v>
      </c>
      <c r="K699" s="3"/>
    </row>
    <row r="700" spans="1:11" x14ac:dyDescent="0.3">
      <c r="A700" s="4" t="s">
        <v>1107</v>
      </c>
      <c r="B700" s="138" t="s">
        <v>360</v>
      </c>
      <c r="C700" s="2" t="s">
        <v>202</v>
      </c>
      <c r="D700" s="2" t="s">
        <v>199</v>
      </c>
      <c r="E700" s="2" t="s">
        <v>384</v>
      </c>
      <c r="F700" s="139">
        <v>17</v>
      </c>
      <c r="G700" s="140">
        <v>0</v>
      </c>
      <c r="H700" s="140">
        <v>0</v>
      </c>
      <c r="I700" s="140">
        <v>0</v>
      </c>
      <c r="J700" s="140">
        <f t="shared" si="10"/>
        <v>17</v>
      </c>
      <c r="K700" s="3"/>
    </row>
    <row r="701" spans="1:11" x14ac:dyDescent="0.3">
      <c r="A701" s="4" t="s">
        <v>1108</v>
      </c>
      <c r="B701" s="138" t="s">
        <v>360</v>
      </c>
      <c r="C701" s="2" t="s">
        <v>202</v>
      </c>
      <c r="D701" s="2" t="s">
        <v>204</v>
      </c>
      <c r="E701" s="2" t="s">
        <v>538</v>
      </c>
      <c r="F701" s="139">
        <v>4</v>
      </c>
      <c r="G701" s="140">
        <v>0</v>
      </c>
      <c r="H701" s="140">
        <v>0</v>
      </c>
      <c r="I701" s="140">
        <v>0</v>
      </c>
      <c r="J701" s="140">
        <f t="shared" si="10"/>
        <v>4</v>
      </c>
      <c r="K701" s="3"/>
    </row>
    <row r="702" spans="1:11" x14ac:dyDescent="0.3">
      <c r="A702" s="4" t="s">
        <v>1109</v>
      </c>
      <c r="B702" s="138" t="s">
        <v>360</v>
      </c>
      <c r="C702" s="2" t="s">
        <v>202</v>
      </c>
      <c r="D702" s="2" t="s">
        <v>204</v>
      </c>
      <c r="E702" s="2" t="s">
        <v>391</v>
      </c>
      <c r="F702" s="139">
        <v>2</v>
      </c>
      <c r="G702" s="140">
        <v>0</v>
      </c>
      <c r="H702" s="140">
        <v>0</v>
      </c>
      <c r="I702" s="140">
        <v>0</v>
      </c>
      <c r="J702" s="140">
        <f t="shared" si="10"/>
        <v>2</v>
      </c>
      <c r="K702" s="3"/>
    </row>
    <row r="703" spans="1:11" x14ac:dyDescent="0.3">
      <c r="A703" s="4" t="s">
        <v>1110</v>
      </c>
      <c r="B703" s="138" t="s">
        <v>363</v>
      </c>
      <c r="C703" s="2" t="s">
        <v>198</v>
      </c>
      <c r="D703" s="2" t="s">
        <v>199</v>
      </c>
      <c r="E703" s="2" t="s">
        <v>432</v>
      </c>
      <c r="F703" s="139">
        <v>15</v>
      </c>
      <c r="G703" s="140">
        <v>0</v>
      </c>
      <c r="H703" s="140">
        <v>0</v>
      </c>
      <c r="I703" s="140">
        <v>4</v>
      </c>
      <c r="J703" s="140">
        <f t="shared" si="10"/>
        <v>19</v>
      </c>
      <c r="K703" s="3"/>
    </row>
    <row r="704" spans="1:11" x14ac:dyDescent="0.3">
      <c r="A704" s="4" t="s">
        <v>1111</v>
      </c>
      <c r="B704" s="138" t="s">
        <v>360</v>
      </c>
      <c r="C704" s="2" t="s">
        <v>202</v>
      </c>
      <c r="D704" s="2" t="s">
        <v>199</v>
      </c>
      <c r="E704" s="2" t="s">
        <v>378</v>
      </c>
      <c r="F704" s="139">
        <v>15</v>
      </c>
      <c r="G704" s="140">
        <v>4</v>
      </c>
      <c r="H704" s="140">
        <v>0</v>
      </c>
      <c r="I704" s="140">
        <v>12</v>
      </c>
      <c r="J704" s="140">
        <f t="shared" si="10"/>
        <v>31</v>
      </c>
      <c r="K704" s="3"/>
    </row>
    <row r="705" spans="1:11" x14ac:dyDescent="0.3">
      <c r="A705" s="4" t="s">
        <v>1112</v>
      </c>
      <c r="B705" s="138" t="s">
        <v>363</v>
      </c>
      <c r="C705" s="2" t="s">
        <v>206</v>
      </c>
      <c r="D705" s="2" t="s">
        <v>197</v>
      </c>
      <c r="E705" s="2" t="s">
        <v>637</v>
      </c>
      <c r="F705" s="139">
        <v>0</v>
      </c>
      <c r="G705" s="140">
        <v>0</v>
      </c>
      <c r="H705" s="140">
        <v>0</v>
      </c>
      <c r="I705" s="140">
        <v>0</v>
      </c>
      <c r="J705" s="140">
        <f t="shared" si="10"/>
        <v>0</v>
      </c>
      <c r="K705" s="3"/>
    </row>
    <row r="706" spans="1:11" x14ac:dyDescent="0.3">
      <c r="A706" s="4" t="s">
        <v>1113</v>
      </c>
      <c r="B706" s="138" t="s">
        <v>363</v>
      </c>
      <c r="C706" s="2" t="s">
        <v>206</v>
      </c>
      <c r="D706" s="2" t="s">
        <v>207</v>
      </c>
      <c r="E706" s="2" t="s">
        <v>443</v>
      </c>
      <c r="F706" s="139">
        <v>16</v>
      </c>
      <c r="G706" s="140">
        <v>0</v>
      </c>
      <c r="H706" s="140">
        <v>0</v>
      </c>
      <c r="I706" s="140">
        <v>15</v>
      </c>
      <c r="J706" s="140">
        <f t="shared" si="10"/>
        <v>31</v>
      </c>
      <c r="K706" s="3"/>
    </row>
    <row r="707" spans="1:11" x14ac:dyDescent="0.3">
      <c r="A707" s="4" t="s">
        <v>1114</v>
      </c>
      <c r="B707" s="138" t="s">
        <v>360</v>
      </c>
      <c r="C707" s="2" t="s">
        <v>202</v>
      </c>
      <c r="D707" s="2" t="s">
        <v>194</v>
      </c>
      <c r="E707" s="2" t="s">
        <v>488</v>
      </c>
      <c r="F707" s="139">
        <v>2</v>
      </c>
      <c r="G707" s="140">
        <v>0</v>
      </c>
      <c r="H707" s="140">
        <v>0</v>
      </c>
      <c r="I707" s="140">
        <v>0</v>
      </c>
      <c r="J707" s="140">
        <f t="shared" si="10"/>
        <v>2</v>
      </c>
      <c r="K707" s="3"/>
    </row>
    <row r="708" spans="1:11" x14ac:dyDescent="0.3">
      <c r="A708" s="4" t="s">
        <v>1115</v>
      </c>
      <c r="B708" s="138" t="s">
        <v>360</v>
      </c>
      <c r="C708" s="2" t="s">
        <v>202</v>
      </c>
      <c r="D708" s="2" t="s">
        <v>204</v>
      </c>
      <c r="E708" s="2" t="s">
        <v>366</v>
      </c>
      <c r="F708" s="139">
        <v>16</v>
      </c>
      <c r="G708" s="140">
        <v>0</v>
      </c>
      <c r="H708" s="140">
        <v>0</v>
      </c>
      <c r="I708" s="140">
        <v>0</v>
      </c>
      <c r="J708" s="140">
        <f t="shared" si="10"/>
        <v>16</v>
      </c>
      <c r="K708" s="3"/>
    </row>
    <row r="709" spans="1:11" x14ac:dyDescent="0.3">
      <c r="A709" s="4" t="s">
        <v>1116</v>
      </c>
      <c r="B709" s="138" t="s">
        <v>360</v>
      </c>
      <c r="C709" s="2" t="s">
        <v>188</v>
      </c>
      <c r="D709" s="2" t="s">
        <v>189</v>
      </c>
      <c r="E709" s="2" t="s">
        <v>387</v>
      </c>
      <c r="F709" s="139">
        <v>3</v>
      </c>
      <c r="G709" s="140">
        <v>0</v>
      </c>
      <c r="H709" s="140">
        <v>0</v>
      </c>
      <c r="I709" s="140">
        <v>0</v>
      </c>
      <c r="J709" s="140">
        <f t="shared" ref="J709:J772" si="11">SUM(F709:I709)</f>
        <v>3</v>
      </c>
      <c r="K709" s="3"/>
    </row>
    <row r="710" spans="1:11" x14ac:dyDescent="0.3">
      <c r="A710" s="4" t="s">
        <v>1117</v>
      </c>
      <c r="B710" s="138" t="s">
        <v>360</v>
      </c>
      <c r="C710" s="2" t="s">
        <v>202</v>
      </c>
      <c r="D710" s="2" t="s">
        <v>200</v>
      </c>
      <c r="E710" s="2" t="s">
        <v>417</v>
      </c>
      <c r="F710" s="139">
        <v>3</v>
      </c>
      <c r="G710" s="140">
        <v>0</v>
      </c>
      <c r="H710" s="140">
        <v>0</v>
      </c>
      <c r="I710" s="140">
        <v>0</v>
      </c>
      <c r="J710" s="140">
        <f t="shared" si="11"/>
        <v>3</v>
      </c>
      <c r="K710" s="3"/>
    </row>
    <row r="711" spans="1:11" x14ac:dyDescent="0.3">
      <c r="A711" s="4" t="s">
        <v>1118</v>
      </c>
      <c r="B711" s="138" t="s">
        <v>360</v>
      </c>
      <c r="C711" s="2" t="s">
        <v>188</v>
      </c>
      <c r="D711" s="2" t="s">
        <v>195</v>
      </c>
      <c r="E711" s="2" t="s">
        <v>447</v>
      </c>
      <c r="F711" s="139">
        <v>0</v>
      </c>
      <c r="G711" s="140">
        <v>0</v>
      </c>
      <c r="H711" s="140">
        <v>0</v>
      </c>
      <c r="I711" s="140">
        <v>0</v>
      </c>
      <c r="J711" s="140">
        <f t="shared" si="11"/>
        <v>0</v>
      </c>
      <c r="K711" s="3"/>
    </row>
    <row r="712" spans="1:11" x14ac:dyDescent="0.3">
      <c r="A712" s="4" t="s">
        <v>1119</v>
      </c>
      <c r="B712" s="138" t="s">
        <v>360</v>
      </c>
      <c r="C712" s="2" t="s">
        <v>202</v>
      </c>
      <c r="D712" s="2" t="s">
        <v>204</v>
      </c>
      <c r="E712" s="2" t="s">
        <v>457</v>
      </c>
      <c r="F712" s="139">
        <v>3</v>
      </c>
      <c r="G712" s="140">
        <v>0</v>
      </c>
      <c r="H712" s="140">
        <v>0</v>
      </c>
      <c r="I712" s="140">
        <v>0</v>
      </c>
      <c r="J712" s="140">
        <f t="shared" si="11"/>
        <v>3</v>
      </c>
      <c r="K712" s="3"/>
    </row>
    <row r="713" spans="1:11" x14ac:dyDescent="0.3">
      <c r="A713" s="4" t="s">
        <v>1120</v>
      </c>
      <c r="B713" s="138" t="s">
        <v>363</v>
      </c>
      <c r="C713" s="2" t="s">
        <v>198</v>
      </c>
      <c r="D713" s="2" t="s">
        <v>199</v>
      </c>
      <c r="E713" s="2" t="s">
        <v>364</v>
      </c>
      <c r="F713" s="139">
        <v>3</v>
      </c>
      <c r="G713" s="140">
        <v>0</v>
      </c>
      <c r="H713" s="140">
        <v>0</v>
      </c>
      <c r="I713" s="140">
        <v>0</v>
      </c>
      <c r="J713" s="140">
        <f t="shared" si="11"/>
        <v>3</v>
      </c>
      <c r="K713" s="3"/>
    </row>
    <row r="714" spans="1:11" x14ac:dyDescent="0.3">
      <c r="A714" s="4" t="s">
        <v>1121</v>
      </c>
      <c r="B714" s="138" t="s">
        <v>363</v>
      </c>
      <c r="C714" s="2" t="s">
        <v>206</v>
      </c>
      <c r="D714" s="2" t="s">
        <v>189</v>
      </c>
      <c r="E714" s="2" t="s">
        <v>541</v>
      </c>
      <c r="F714" s="139">
        <v>1</v>
      </c>
      <c r="G714" s="140">
        <v>0</v>
      </c>
      <c r="H714" s="140">
        <v>0</v>
      </c>
      <c r="I714" s="140">
        <v>0</v>
      </c>
      <c r="J714" s="140">
        <f t="shared" si="11"/>
        <v>1</v>
      </c>
      <c r="K714" s="3"/>
    </row>
    <row r="715" spans="1:11" x14ac:dyDescent="0.3">
      <c r="A715" s="4" t="s">
        <v>1122</v>
      </c>
      <c r="B715" s="138" t="s">
        <v>478</v>
      </c>
      <c r="C715" s="127" t="s">
        <v>205</v>
      </c>
      <c r="D715" s="2" t="s">
        <v>196</v>
      </c>
      <c r="E715" s="2" t="s">
        <v>479</v>
      </c>
      <c r="F715" s="139">
        <v>13</v>
      </c>
      <c r="G715" s="140">
        <v>0</v>
      </c>
      <c r="H715" s="140">
        <v>0</v>
      </c>
      <c r="I715" s="140">
        <v>0</v>
      </c>
      <c r="J715" s="140">
        <f t="shared" si="11"/>
        <v>13</v>
      </c>
      <c r="K715" s="3"/>
    </row>
    <row r="716" spans="1:11" x14ac:dyDescent="0.3">
      <c r="A716" s="4" t="s">
        <v>1123</v>
      </c>
      <c r="B716" s="138" t="s">
        <v>360</v>
      </c>
      <c r="C716" s="2" t="s">
        <v>202</v>
      </c>
      <c r="D716" s="2" t="s">
        <v>204</v>
      </c>
      <c r="E716" s="2" t="s">
        <v>412</v>
      </c>
      <c r="F716" s="139">
        <v>3</v>
      </c>
      <c r="G716" s="140">
        <v>0</v>
      </c>
      <c r="H716" s="140">
        <v>0</v>
      </c>
      <c r="I716" s="140">
        <v>0</v>
      </c>
      <c r="J716" s="140">
        <f t="shared" si="11"/>
        <v>3</v>
      </c>
      <c r="K716" s="3"/>
    </row>
    <row r="717" spans="1:11" x14ac:dyDescent="0.3">
      <c r="A717" s="4" t="s">
        <v>1124</v>
      </c>
      <c r="B717" s="138" t="s">
        <v>360</v>
      </c>
      <c r="C717" s="2" t="s">
        <v>202</v>
      </c>
      <c r="D717" s="2" t="s">
        <v>204</v>
      </c>
      <c r="E717" s="2" t="s">
        <v>370</v>
      </c>
      <c r="F717" s="139">
        <v>0</v>
      </c>
      <c r="G717" s="140">
        <v>0</v>
      </c>
      <c r="H717" s="140">
        <v>0</v>
      </c>
      <c r="I717" s="140">
        <v>0</v>
      </c>
      <c r="J717" s="140">
        <f t="shared" si="11"/>
        <v>0</v>
      </c>
      <c r="K717" s="3"/>
    </row>
    <row r="718" spans="1:11" x14ac:dyDescent="0.3">
      <c r="A718" s="4" t="s">
        <v>1125</v>
      </c>
      <c r="B718" s="138" t="s">
        <v>360</v>
      </c>
      <c r="C718" s="2" t="s">
        <v>202</v>
      </c>
      <c r="D718" s="2" t="s">
        <v>200</v>
      </c>
      <c r="E718" s="2" t="s">
        <v>707</v>
      </c>
      <c r="F718" s="139">
        <v>3</v>
      </c>
      <c r="G718" s="140">
        <v>0</v>
      </c>
      <c r="H718" s="140">
        <v>0</v>
      </c>
      <c r="I718" s="140">
        <v>0</v>
      </c>
      <c r="J718" s="140">
        <f t="shared" si="11"/>
        <v>3</v>
      </c>
      <c r="K718" s="3"/>
    </row>
    <row r="719" spans="1:11" x14ac:dyDescent="0.3">
      <c r="A719" s="4" t="s">
        <v>1126</v>
      </c>
      <c r="B719" s="138" t="s">
        <v>360</v>
      </c>
      <c r="C719" s="2" t="s">
        <v>202</v>
      </c>
      <c r="D719" s="2" t="s">
        <v>204</v>
      </c>
      <c r="E719" s="2" t="s">
        <v>391</v>
      </c>
      <c r="F719" s="139">
        <v>3</v>
      </c>
      <c r="G719" s="140">
        <v>0</v>
      </c>
      <c r="H719" s="140">
        <v>0</v>
      </c>
      <c r="I719" s="140">
        <v>0</v>
      </c>
      <c r="J719" s="140">
        <f t="shared" si="11"/>
        <v>3</v>
      </c>
      <c r="K719" s="3"/>
    </row>
    <row r="720" spans="1:11" x14ac:dyDescent="0.3">
      <c r="A720" s="4" t="s">
        <v>1127</v>
      </c>
      <c r="B720" s="138" t="s">
        <v>360</v>
      </c>
      <c r="C720" s="2" t="s">
        <v>202</v>
      </c>
      <c r="D720" s="2" t="s">
        <v>204</v>
      </c>
      <c r="E720" s="2" t="s">
        <v>370</v>
      </c>
      <c r="F720" s="139">
        <v>9</v>
      </c>
      <c r="G720" s="140">
        <v>12</v>
      </c>
      <c r="H720" s="140">
        <v>0</v>
      </c>
      <c r="I720" s="140">
        <v>0</v>
      </c>
      <c r="J720" s="140">
        <f t="shared" si="11"/>
        <v>21</v>
      </c>
      <c r="K720" s="3"/>
    </row>
    <row r="721" spans="1:11" x14ac:dyDescent="0.3">
      <c r="A721" s="4" t="s">
        <v>1128</v>
      </c>
      <c r="B721" s="138" t="s">
        <v>360</v>
      </c>
      <c r="C721" s="2" t="s">
        <v>202</v>
      </c>
      <c r="D721" s="2" t="s">
        <v>199</v>
      </c>
      <c r="E721" s="2" t="s">
        <v>415</v>
      </c>
      <c r="F721" s="139">
        <v>0</v>
      </c>
      <c r="G721" s="140">
        <v>0</v>
      </c>
      <c r="H721" s="140">
        <v>0</v>
      </c>
      <c r="I721" s="140">
        <v>0</v>
      </c>
      <c r="J721" s="140">
        <f t="shared" si="11"/>
        <v>0</v>
      </c>
      <c r="K721" s="3"/>
    </row>
    <row r="722" spans="1:11" x14ac:dyDescent="0.3">
      <c r="A722" s="4" t="s">
        <v>1129</v>
      </c>
      <c r="B722" s="138" t="s">
        <v>360</v>
      </c>
      <c r="C722" s="2" t="s">
        <v>202</v>
      </c>
      <c r="D722" s="2" t="s">
        <v>199</v>
      </c>
      <c r="E722" s="2" t="s">
        <v>428</v>
      </c>
      <c r="F722" s="139">
        <v>6</v>
      </c>
      <c r="G722" s="140">
        <v>0</v>
      </c>
      <c r="H722" s="140">
        <v>0</v>
      </c>
      <c r="I722" s="140">
        <v>0</v>
      </c>
      <c r="J722" s="140">
        <f t="shared" si="11"/>
        <v>6</v>
      </c>
      <c r="K722" s="3"/>
    </row>
    <row r="723" spans="1:11" x14ac:dyDescent="0.3">
      <c r="A723" s="4" t="s">
        <v>1130</v>
      </c>
      <c r="B723" s="138" t="s">
        <v>360</v>
      </c>
      <c r="C723" s="2" t="s">
        <v>202</v>
      </c>
      <c r="D723" s="2" t="s">
        <v>204</v>
      </c>
      <c r="E723" s="2" t="s">
        <v>366</v>
      </c>
      <c r="F723" s="139">
        <v>1</v>
      </c>
      <c r="G723" s="140">
        <v>0</v>
      </c>
      <c r="H723" s="140">
        <v>0</v>
      </c>
      <c r="I723" s="140">
        <v>0</v>
      </c>
      <c r="J723" s="140">
        <f t="shared" si="11"/>
        <v>1</v>
      </c>
      <c r="K723" s="3"/>
    </row>
    <row r="724" spans="1:11" x14ac:dyDescent="0.3">
      <c r="A724" s="4" t="s">
        <v>1131</v>
      </c>
      <c r="B724" s="138" t="s">
        <v>363</v>
      </c>
      <c r="C724" s="2" t="s">
        <v>198</v>
      </c>
      <c r="D724" s="2" t="s">
        <v>199</v>
      </c>
      <c r="E724" s="2" t="s">
        <v>380</v>
      </c>
      <c r="F724" s="139">
        <v>10</v>
      </c>
      <c r="G724" s="140">
        <v>0</v>
      </c>
      <c r="H724" s="140">
        <v>0</v>
      </c>
      <c r="I724" s="140">
        <v>0</v>
      </c>
      <c r="J724" s="140">
        <f t="shared" si="11"/>
        <v>10</v>
      </c>
      <c r="K724" s="3"/>
    </row>
    <row r="725" spans="1:11" x14ac:dyDescent="0.3">
      <c r="A725" s="4" t="s">
        <v>1132</v>
      </c>
      <c r="B725" s="138" t="s">
        <v>360</v>
      </c>
      <c r="C725" s="127" t="s">
        <v>201</v>
      </c>
      <c r="D725" s="2" t="s">
        <v>197</v>
      </c>
      <c r="E725" s="2" t="s">
        <v>405</v>
      </c>
      <c r="F725" s="139">
        <v>4</v>
      </c>
      <c r="G725" s="140">
        <v>0</v>
      </c>
      <c r="H725" s="140">
        <v>0</v>
      </c>
      <c r="I725" s="140">
        <v>0</v>
      </c>
      <c r="J725" s="140">
        <f t="shared" si="11"/>
        <v>4</v>
      </c>
      <c r="K725" s="3"/>
    </row>
    <row r="726" spans="1:11" x14ac:dyDescent="0.3">
      <c r="A726" s="4" t="s">
        <v>1133</v>
      </c>
      <c r="B726" s="138" t="s">
        <v>360</v>
      </c>
      <c r="C726" s="2" t="s">
        <v>202</v>
      </c>
      <c r="D726" s="2" t="s">
        <v>199</v>
      </c>
      <c r="E726" s="2" t="s">
        <v>378</v>
      </c>
      <c r="F726" s="139">
        <v>0</v>
      </c>
      <c r="G726" s="140">
        <v>0</v>
      </c>
      <c r="H726" s="140">
        <v>0</v>
      </c>
      <c r="I726" s="140">
        <v>0</v>
      </c>
      <c r="J726" s="140">
        <f t="shared" si="11"/>
        <v>0</v>
      </c>
      <c r="K726" s="3"/>
    </row>
    <row r="727" spans="1:11" x14ac:dyDescent="0.3">
      <c r="A727" s="4" t="s">
        <v>1134</v>
      </c>
      <c r="B727" s="138" t="s">
        <v>360</v>
      </c>
      <c r="C727" s="2" t="s">
        <v>202</v>
      </c>
      <c r="D727" s="2" t="s">
        <v>204</v>
      </c>
      <c r="E727" s="2" t="s">
        <v>361</v>
      </c>
      <c r="F727" s="139">
        <v>0</v>
      </c>
      <c r="G727" s="140">
        <v>0</v>
      </c>
      <c r="H727" s="140">
        <v>0</v>
      </c>
      <c r="I727" s="140">
        <v>0</v>
      </c>
      <c r="J727" s="140">
        <f t="shared" si="11"/>
        <v>0</v>
      </c>
      <c r="K727" s="3"/>
    </row>
    <row r="728" spans="1:11" x14ac:dyDescent="0.3">
      <c r="A728" s="4" t="s">
        <v>1135</v>
      </c>
      <c r="B728" s="138" t="s">
        <v>360</v>
      </c>
      <c r="C728" s="2" t="s">
        <v>202</v>
      </c>
      <c r="D728" s="2" t="s">
        <v>199</v>
      </c>
      <c r="E728" s="2" t="s">
        <v>428</v>
      </c>
      <c r="F728" s="139">
        <v>4</v>
      </c>
      <c r="G728" s="140">
        <v>0</v>
      </c>
      <c r="H728" s="140">
        <v>0</v>
      </c>
      <c r="I728" s="140">
        <v>0</v>
      </c>
      <c r="J728" s="140">
        <f t="shared" si="11"/>
        <v>4</v>
      </c>
      <c r="K728" s="3"/>
    </row>
    <row r="729" spans="1:11" x14ac:dyDescent="0.3">
      <c r="A729" s="4" t="s">
        <v>1136</v>
      </c>
      <c r="B729" s="138" t="s">
        <v>360</v>
      </c>
      <c r="C729" s="2" t="s">
        <v>202</v>
      </c>
      <c r="D729" s="2" t="s">
        <v>200</v>
      </c>
      <c r="E729" s="2" t="s">
        <v>707</v>
      </c>
      <c r="F729" s="139">
        <v>16</v>
      </c>
      <c r="G729" s="140">
        <v>0</v>
      </c>
      <c r="H729" s="140">
        <v>0</v>
      </c>
      <c r="I729" s="140">
        <v>0</v>
      </c>
      <c r="J729" s="140">
        <f t="shared" si="11"/>
        <v>16</v>
      </c>
      <c r="K729" s="3"/>
    </row>
    <row r="730" spans="1:11" x14ac:dyDescent="0.3">
      <c r="A730" s="4" t="s">
        <v>1137</v>
      </c>
      <c r="B730" s="138" t="s">
        <v>360</v>
      </c>
      <c r="C730" s="2" t="s">
        <v>202</v>
      </c>
      <c r="D730" s="2" t="s">
        <v>204</v>
      </c>
      <c r="E730" s="2" t="s">
        <v>391</v>
      </c>
      <c r="F730" s="139">
        <v>16</v>
      </c>
      <c r="G730" s="140">
        <v>12</v>
      </c>
      <c r="H730" s="140">
        <v>0</v>
      </c>
      <c r="I730" s="140">
        <v>0</v>
      </c>
      <c r="J730" s="140">
        <f t="shared" si="11"/>
        <v>28</v>
      </c>
      <c r="K730" s="3"/>
    </row>
    <row r="731" spans="1:11" x14ac:dyDescent="0.3">
      <c r="A731" s="4" t="s">
        <v>1138</v>
      </c>
      <c r="B731" s="138" t="s">
        <v>360</v>
      </c>
      <c r="C731" s="2" t="s">
        <v>188</v>
      </c>
      <c r="D731" s="2" t="s">
        <v>189</v>
      </c>
      <c r="E731" s="2" t="s">
        <v>421</v>
      </c>
      <c r="F731" s="139">
        <v>4</v>
      </c>
      <c r="G731" s="140">
        <v>6</v>
      </c>
      <c r="H731" s="140">
        <v>0</v>
      </c>
      <c r="I731" s="140">
        <v>0</v>
      </c>
      <c r="J731" s="140">
        <f t="shared" si="11"/>
        <v>10</v>
      </c>
      <c r="K731" s="3"/>
    </row>
    <row r="732" spans="1:11" x14ac:dyDescent="0.3">
      <c r="A732" s="4" t="s">
        <v>1139</v>
      </c>
      <c r="B732" s="138" t="s">
        <v>363</v>
      </c>
      <c r="C732" s="2" t="s">
        <v>206</v>
      </c>
      <c r="D732" s="2" t="s">
        <v>197</v>
      </c>
      <c r="E732" s="2" t="s">
        <v>637</v>
      </c>
      <c r="F732" s="139">
        <v>2</v>
      </c>
      <c r="G732" s="140">
        <v>0</v>
      </c>
      <c r="H732" s="140">
        <v>0</v>
      </c>
      <c r="I732" s="140">
        <v>0</v>
      </c>
      <c r="J732" s="140">
        <f t="shared" si="11"/>
        <v>2</v>
      </c>
      <c r="K732" s="3"/>
    </row>
    <row r="733" spans="1:11" x14ac:dyDescent="0.3">
      <c r="A733" s="4" t="s">
        <v>1140</v>
      </c>
      <c r="B733" s="138" t="s">
        <v>360</v>
      </c>
      <c r="C733" s="2" t="s">
        <v>202</v>
      </c>
      <c r="D733" s="2" t="s">
        <v>204</v>
      </c>
      <c r="E733" s="2" t="s">
        <v>389</v>
      </c>
      <c r="F733" s="139">
        <v>8</v>
      </c>
      <c r="G733" s="140">
        <v>6</v>
      </c>
      <c r="H733" s="140">
        <v>0</v>
      </c>
      <c r="I733" s="140">
        <v>0</v>
      </c>
      <c r="J733" s="140">
        <f t="shared" si="11"/>
        <v>14</v>
      </c>
      <c r="K733" s="3"/>
    </row>
    <row r="734" spans="1:11" x14ac:dyDescent="0.3">
      <c r="A734" s="4" t="s">
        <v>1141</v>
      </c>
      <c r="B734" s="138" t="s">
        <v>360</v>
      </c>
      <c r="C734" s="2" t="s">
        <v>202</v>
      </c>
      <c r="D734" s="2" t="s">
        <v>199</v>
      </c>
      <c r="E734" s="2" t="s">
        <v>393</v>
      </c>
      <c r="F734" s="139">
        <v>10</v>
      </c>
      <c r="G734" s="140">
        <v>0</v>
      </c>
      <c r="H734" s="140">
        <v>0</v>
      </c>
      <c r="I734" s="140">
        <v>0</v>
      </c>
      <c r="J734" s="140">
        <f t="shared" si="11"/>
        <v>10</v>
      </c>
      <c r="K734" s="3"/>
    </row>
    <row r="735" spans="1:11" x14ac:dyDescent="0.3">
      <c r="A735" s="4" t="s">
        <v>1142</v>
      </c>
      <c r="B735" s="138" t="s">
        <v>363</v>
      </c>
      <c r="C735" s="2" t="s">
        <v>198</v>
      </c>
      <c r="D735" s="2" t="s">
        <v>200</v>
      </c>
      <c r="E735" s="2" t="s">
        <v>450</v>
      </c>
      <c r="F735" s="139">
        <v>0</v>
      </c>
      <c r="G735" s="140">
        <v>0</v>
      </c>
      <c r="H735" s="140">
        <v>0</v>
      </c>
      <c r="I735" s="140">
        <v>0</v>
      </c>
      <c r="J735" s="140">
        <f t="shared" si="11"/>
        <v>0</v>
      </c>
      <c r="K735" s="3"/>
    </row>
    <row r="736" spans="1:11" x14ac:dyDescent="0.3">
      <c r="A736" s="4" t="s">
        <v>1143</v>
      </c>
      <c r="B736" s="138" t="s">
        <v>360</v>
      </c>
      <c r="C736" s="2" t="s">
        <v>202</v>
      </c>
      <c r="D736" s="2" t="s">
        <v>197</v>
      </c>
      <c r="E736" s="2" t="s">
        <v>580</v>
      </c>
      <c r="F736" s="139">
        <v>14</v>
      </c>
      <c r="G736" s="140">
        <v>0</v>
      </c>
      <c r="H736" s="140">
        <v>0</v>
      </c>
      <c r="I736" s="140">
        <v>0</v>
      </c>
      <c r="J736" s="140">
        <f t="shared" si="11"/>
        <v>14</v>
      </c>
      <c r="K736" s="3"/>
    </row>
    <row r="737" spans="1:11" x14ac:dyDescent="0.3">
      <c r="A737" s="4" t="s">
        <v>1144</v>
      </c>
      <c r="B737" s="138" t="s">
        <v>360</v>
      </c>
      <c r="C737" s="2" t="s">
        <v>202</v>
      </c>
      <c r="D737" s="2" t="s">
        <v>204</v>
      </c>
      <c r="E737" s="2" t="s">
        <v>538</v>
      </c>
      <c r="F737" s="139">
        <v>16</v>
      </c>
      <c r="G737" s="140">
        <v>12</v>
      </c>
      <c r="H737" s="140">
        <v>0</v>
      </c>
      <c r="I737" s="140">
        <v>20</v>
      </c>
      <c r="J737" s="140">
        <f t="shared" si="11"/>
        <v>48</v>
      </c>
      <c r="K737" s="3"/>
    </row>
    <row r="738" spans="1:11" x14ac:dyDescent="0.3">
      <c r="A738" s="4" t="s">
        <v>1145</v>
      </c>
      <c r="B738" s="138" t="s">
        <v>360</v>
      </c>
      <c r="C738" s="2" t="s">
        <v>202</v>
      </c>
      <c r="D738" s="2" t="s">
        <v>204</v>
      </c>
      <c r="E738" s="2" t="s">
        <v>462</v>
      </c>
      <c r="F738" s="139">
        <v>16</v>
      </c>
      <c r="G738" s="140">
        <v>0</v>
      </c>
      <c r="H738" s="140">
        <v>0</v>
      </c>
      <c r="I738" s="140">
        <v>0</v>
      </c>
      <c r="J738" s="140">
        <f t="shared" si="11"/>
        <v>16</v>
      </c>
      <c r="K738" s="3"/>
    </row>
    <row r="739" spans="1:11" x14ac:dyDescent="0.3">
      <c r="A739" s="4" t="s">
        <v>1146</v>
      </c>
      <c r="B739" s="138" t="s">
        <v>478</v>
      </c>
      <c r="C739" s="127" t="s">
        <v>205</v>
      </c>
      <c r="D739" s="2" t="s">
        <v>189</v>
      </c>
      <c r="E739" s="2" t="s">
        <v>498</v>
      </c>
      <c r="F739" s="139">
        <v>3</v>
      </c>
      <c r="G739" s="140">
        <v>0</v>
      </c>
      <c r="H739" s="140">
        <v>0</v>
      </c>
      <c r="I739" s="140">
        <v>0</v>
      </c>
      <c r="J739" s="140">
        <f t="shared" si="11"/>
        <v>3</v>
      </c>
      <c r="K739" s="3"/>
    </row>
    <row r="740" spans="1:11" x14ac:dyDescent="0.3">
      <c r="A740" s="4" t="s">
        <v>1147</v>
      </c>
      <c r="B740" s="138" t="s">
        <v>360</v>
      </c>
      <c r="C740" s="2" t="s">
        <v>202</v>
      </c>
      <c r="D740" s="2" t="s">
        <v>204</v>
      </c>
      <c r="E740" s="2" t="s">
        <v>370</v>
      </c>
      <c r="F740" s="139">
        <v>1</v>
      </c>
      <c r="G740" s="140">
        <v>0</v>
      </c>
      <c r="H740" s="140">
        <v>0</v>
      </c>
      <c r="I740" s="140">
        <v>0</v>
      </c>
      <c r="J740" s="140">
        <f t="shared" si="11"/>
        <v>1</v>
      </c>
      <c r="K740" s="3"/>
    </row>
    <row r="741" spans="1:11" x14ac:dyDescent="0.3">
      <c r="A741" s="4" t="s">
        <v>1148</v>
      </c>
      <c r="B741" s="138" t="s">
        <v>363</v>
      </c>
      <c r="C741" s="2" t="s">
        <v>198</v>
      </c>
      <c r="D741" s="2" t="s">
        <v>200</v>
      </c>
      <c r="E741" s="2" t="s">
        <v>450</v>
      </c>
      <c r="F741" s="139">
        <v>6</v>
      </c>
      <c r="G741" s="140">
        <v>0</v>
      </c>
      <c r="H741" s="140">
        <v>0</v>
      </c>
      <c r="I741" s="140">
        <v>0</v>
      </c>
      <c r="J741" s="140">
        <f t="shared" si="11"/>
        <v>6</v>
      </c>
      <c r="K741" s="3"/>
    </row>
    <row r="742" spans="1:11" x14ac:dyDescent="0.3">
      <c r="A742" s="4" t="s">
        <v>1149</v>
      </c>
      <c r="B742" s="138" t="s">
        <v>360</v>
      </c>
      <c r="C742" s="2" t="s">
        <v>202</v>
      </c>
      <c r="D742" s="2" t="s">
        <v>199</v>
      </c>
      <c r="E742" s="2" t="s">
        <v>428</v>
      </c>
      <c r="F742" s="139">
        <v>2</v>
      </c>
      <c r="G742" s="140">
        <v>0</v>
      </c>
      <c r="H742" s="140">
        <v>0</v>
      </c>
      <c r="I742" s="140">
        <v>0</v>
      </c>
      <c r="J742" s="140">
        <f t="shared" si="11"/>
        <v>2</v>
      </c>
      <c r="K742" s="3"/>
    </row>
    <row r="743" spans="1:11" x14ac:dyDescent="0.3">
      <c r="A743" s="4" t="s">
        <v>1150</v>
      </c>
      <c r="B743" s="138" t="s">
        <v>363</v>
      </c>
      <c r="C743" s="2" t="s">
        <v>206</v>
      </c>
      <c r="D743" s="2" t="s">
        <v>189</v>
      </c>
      <c r="E743" s="2" t="s">
        <v>541</v>
      </c>
      <c r="F743" s="139">
        <v>0</v>
      </c>
      <c r="G743" s="140">
        <v>0</v>
      </c>
      <c r="H743" s="140">
        <v>0</v>
      </c>
      <c r="I743" s="140">
        <v>0</v>
      </c>
      <c r="J743" s="140">
        <f t="shared" si="11"/>
        <v>0</v>
      </c>
      <c r="K743" s="3"/>
    </row>
    <row r="744" spans="1:11" x14ac:dyDescent="0.3">
      <c r="A744" s="4" t="s">
        <v>1151</v>
      </c>
      <c r="B744" s="138" t="s">
        <v>363</v>
      </c>
      <c r="C744" s="2" t="s">
        <v>198</v>
      </c>
      <c r="D744" s="2" t="s">
        <v>200</v>
      </c>
      <c r="E744" s="2" t="s">
        <v>372</v>
      </c>
      <c r="F744" s="139">
        <v>0</v>
      </c>
      <c r="G744" s="140">
        <v>0</v>
      </c>
      <c r="H744" s="140">
        <v>0</v>
      </c>
      <c r="I744" s="140">
        <v>0</v>
      </c>
      <c r="J744" s="140">
        <f t="shared" si="11"/>
        <v>0</v>
      </c>
      <c r="K744" s="3"/>
    </row>
    <row r="745" spans="1:11" x14ac:dyDescent="0.3">
      <c r="A745" s="4" t="s">
        <v>1152</v>
      </c>
      <c r="B745" s="138" t="s">
        <v>363</v>
      </c>
      <c r="C745" s="2" t="s">
        <v>198</v>
      </c>
      <c r="D745" s="2" t="s">
        <v>199</v>
      </c>
      <c r="E745" s="2" t="s">
        <v>364</v>
      </c>
      <c r="F745" s="139">
        <v>0</v>
      </c>
      <c r="G745" s="140">
        <v>0</v>
      </c>
      <c r="H745" s="140">
        <v>0</v>
      </c>
      <c r="I745" s="140">
        <v>0</v>
      </c>
      <c r="J745" s="140">
        <f t="shared" si="11"/>
        <v>0</v>
      </c>
      <c r="K745" s="3"/>
    </row>
    <row r="746" spans="1:11" x14ac:dyDescent="0.3">
      <c r="A746" s="4" t="s">
        <v>1153</v>
      </c>
      <c r="B746" s="138" t="s">
        <v>360</v>
      </c>
      <c r="C746" s="2" t="s">
        <v>202</v>
      </c>
      <c r="D746" s="2" t="s">
        <v>204</v>
      </c>
      <c r="E746" s="2" t="s">
        <v>412</v>
      </c>
      <c r="F746" s="139">
        <v>0</v>
      </c>
      <c r="G746" s="140">
        <v>6</v>
      </c>
      <c r="H746" s="140">
        <v>0</v>
      </c>
      <c r="I746" s="140">
        <v>0</v>
      </c>
      <c r="J746" s="140">
        <f t="shared" si="11"/>
        <v>6</v>
      </c>
      <c r="K746" s="3"/>
    </row>
    <row r="747" spans="1:11" x14ac:dyDescent="0.3">
      <c r="A747" s="4" t="s">
        <v>1154</v>
      </c>
      <c r="B747" s="138" t="s">
        <v>360</v>
      </c>
      <c r="C747" s="2" t="s">
        <v>202</v>
      </c>
      <c r="D747" s="2" t="s">
        <v>204</v>
      </c>
      <c r="E747" s="2" t="s">
        <v>361</v>
      </c>
      <c r="F747" s="139">
        <v>2</v>
      </c>
      <c r="G747" s="140">
        <v>0</v>
      </c>
      <c r="H747" s="140">
        <v>0</v>
      </c>
      <c r="I747" s="140">
        <v>0</v>
      </c>
      <c r="J747" s="140">
        <f t="shared" si="11"/>
        <v>2</v>
      </c>
      <c r="K747" s="3"/>
    </row>
    <row r="748" spans="1:11" x14ac:dyDescent="0.3">
      <c r="A748" s="4" t="s">
        <v>1155</v>
      </c>
      <c r="B748" s="138" t="s">
        <v>363</v>
      </c>
      <c r="C748" s="2" t="s">
        <v>198</v>
      </c>
      <c r="D748" s="2" t="s">
        <v>197</v>
      </c>
      <c r="E748" s="2" t="s">
        <v>409</v>
      </c>
      <c r="F748" s="139">
        <v>3</v>
      </c>
      <c r="G748" s="140">
        <v>0</v>
      </c>
      <c r="H748" s="140">
        <v>0</v>
      </c>
      <c r="I748" s="140">
        <v>0</v>
      </c>
      <c r="J748" s="140">
        <f t="shared" si="11"/>
        <v>3</v>
      </c>
      <c r="K748" s="3"/>
    </row>
    <row r="749" spans="1:11" x14ac:dyDescent="0.3">
      <c r="A749" s="4" t="s">
        <v>1156</v>
      </c>
      <c r="B749" s="138" t="s">
        <v>363</v>
      </c>
      <c r="C749" s="2" t="s">
        <v>198</v>
      </c>
      <c r="D749" s="2" t="s">
        <v>199</v>
      </c>
      <c r="E749" s="2" t="s">
        <v>380</v>
      </c>
      <c r="F749" s="139">
        <v>0</v>
      </c>
      <c r="G749" s="140">
        <v>0</v>
      </c>
      <c r="H749" s="140">
        <v>0</v>
      </c>
      <c r="I749" s="140">
        <v>0</v>
      </c>
      <c r="J749" s="140">
        <f t="shared" si="11"/>
        <v>0</v>
      </c>
      <c r="K749" s="3"/>
    </row>
    <row r="750" spans="1:11" x14ac:dyDescent="0.3">
      <c r="A750" s="4" t="s">
        <v>1157</v>
      </c>
      <c r="B750" s="138" t="s">
        <v>363</v>
      </c>
      <c r="C750" s="2" t="s">
        <v>198</v>
      </c>
      <c r="D750" s="2" t="s">
        <v>200</v>
      </c>
      <c r="E750" s="2" t="s">
        <v>450</v>
      </c>
      <c r="F750" s="139">
        <v>9</v>
      </c>
      <c r="G750" s="140">
        <v>0</v>
      </c>
      <c r="H750" s="140">
        <v>0</v>
      </c>
      <c r="I750" s="140">
        <v>0</v>
      </c>
      <c r="J750" s="140">
        <f t="shared" si="11"/>
        <v>9</v>
      </c>
      <c r="K750" s="3"/>
    </row>
    <row r="751" spans="1:11" x14ac:dyDescent="0.3">
      <c r="A751" s="4" t="s">
        <v>1158</v>
      </c>
      <c r="B751" s="138" t="s">
        <v>363</v>
      </c>
      <c r="C751" s="2" t="s">
        <v>198</v>
      </c>
      <c r="D751" s="2" t="s">
        <v>200</v>
      </c>
      <c r="E751" s="2" t="s">
        <v>372</v>
      </c>
      <c r="F751" s="139">
        <v>8</v>
      </c>
      <c r="G751" s="140">
        <v>0</v>
      </c>
      <c r="H751" s="140">
        <v>0</v>
      </c>
      <c r="I751" s="140">
        <v>0</v>
      </c>
      <c r="J751" s="140">
        <f t="shared" si="11"/>
        <v>8</v>
      </c>
      <c r="K751" s="3"/>
    </row>
    <row r="752" spans="1:11" x14ac:dyDescent="0.3">
      <c r="A752" s="4" t="s">
        <v>1159</v>
      </c>
      <c r="B752" s="138" t="s">
        <v>360</v>
      </c>
      <c r="C752" s="2" t="s">
        <v>202</v>
      </c>
      <c r="D752" s="2" t="s">
        <v>199</v>
      </c>
      <c r="E752" s="2" t="s">
        <v>393</v>
      </c>
      <c r="F752" s="139">
        <v>13</v>
      </c>
      <c r="G752" s="140">
        <v>0</v>
      </c>
      <c r="H752" s="140">
        <v>0</v>
      </c>
      <c r="I752" s="140">
        <v>0</v>
      </c>
      <c r="J752" s="140">
        <f t="shared" si="11"/>
        <v>13</v>
      </c>
      <c r="K752" s="3"/>
    </row>
    <row r="753" spans="1:11" x14ac:dyDescent="0.3">
      <c r="A753" s="4" t="s">
        <v>1160</v>
      </c>
      <c r="B753" s="138" t="s">
        <v>360</v>
      </c>
      <c r="C753" s="2" t="s">
        <v>202</v>
      </c>
      <c r="D753" s="2" t="s">
        <v>204</v>
      </c>
      <c r="E753" s="2" t="s">
        <v>462</v>
      </c>
      <c r="F753" s="139">
        <v>7</v>
      </c>
      <c r="G753" s="140">
        <v>0</v>
      </c>
      <c r="H753" s="140">
        <v>0</v>
      </c>
      <c r="I753" s="140">
        <v>0</v>
      </c>
      <c r="J753" s="140">
        <f t="shared" si="11"/>
        <v>7</v>
      </c>
      <c r="K753" s="3"/>
    </row>
    <row r="754" spans="1:11" x14ac:dyDescent="0.3">
      <c r="A754" s="4" t="s">
        <v>1161</v>
      </c>
      <c r="B754" s="138" t="s">
        <v>360</v>
      </c>
      <c r="C754" s="2" t="s">
        <v>202</v>
      </c>
      <c r="D754" s="2" t="s">
        <v>200</v>
      </c>
      <c r="E754" s="2" t="s">
        <v>417</v>
      </c>
      <c r="F754" s="139">
        <v>10</v>
      </c>
      <c r="G754" s="140">
        <v>0</v>
      </c>
      <c r="H754" s="140">
        <v>0</v>
      </c>
      <c r="I754" s="140">
        <v>0</v>
      </c>
      <c r="J754" s="140">
        <f t="shared" si="11"/>
        <v>10</v>
      </c>
      <c r="K754" s="3"/>
    </row>
    <row r="755" spans="1:11" x14ac:dyDescent="0.3">
      <c r="A755" s="4" t="s">
        <v>1162</v>
      </c>
      <c r="B755" s="138" t="s">
        <v>360</v>
      </c>
      <c r="C755" s="2" t="s">
        <v>202</v>
      </c>
      <c r="D755" s="2" t="s">
        <v>204</v>
      </c>
      <c r="E755" s="2" t="s">
        <v>389</v>
      </c>
      <c r="F755" s="139">
        <v>8</v>
      </c>
      <c r="G755" s="140">
        <v>0</v>
      </c>
      <c r="H755" s="140">
        <v>0</v>
      </c>
      <c r="I755" s="140">
        <v>0</v>
      </c>
      <c r="J755" s="140">
        <f t="shared" si="11"/>
        <v>8</v>
      </c>
      <c r="K755" s="3"/>
    </row>
    <row r="756" spans="1:11" x14ac:dyDescent="0.3">
      <c r="A756" s="4" t="s">
        <v>1163</v>
      </c>
      <c r="B756" s="138" t="s">
        <v>360</v>
      </c>
      <c r="C756" s="2" t="s">
        <v>188</v>
      </c>
      <c r="D756" s="2" t="s">
        <v>196</v>
      </c>
      <c r="E756" s="2" t="s">
        <v>395</v>
      </c>
      <c r="F756" s="139">
        <v>10</v>
      </c>
      <c r="G756" s="140">
        <v>0</v>
      </c>
      <c r="H756" s="140">
        <v>0</v>
      </c>
      <c r="I756" s="140">
        <v>0</v>
      </c>
      <c r="J756" s="140">
        <f t="shared" si="11"/>
        <v>10</v>
      </c>
      <c r="K756" s="3"/>
    </row>
    <row r="757" spans="1:11" x14ac:dyDescent="0.3">
      <c r="A757" s="4" t="s">
        <v>1164</v>
      </c>
      <c r="B757" s="138" t="s">
        <v>360</v>
      </c>
      <c r="C757" s="2" t="s">
        <v>202</v>
      </c>
      <c r="D757" s="2" t="s">
        <v>204</v>
      </c>
      <c r="E757" s="2" t="s">
        <v>389</v>
      </c>
      <c r="F757" s="139">
        <v>0</v>
      </c>
      <c r="G757" s="140">
        <v>0</v>
      </c>
      <c r="H757" s="140">
        <v>0</v>
      </c>
      <c r="I757" s="140">
        <v>0</v>
      </c>
      <c r="J757" s="140">
        <f t="shared" si="11"/>
        <v>0</v>
      </c>
      <c r="K757" s="3"/>
    </row>
    <row r="758" spans="1:11" x14ac:dyDescent="0.3">
      <c r="A758" s="4" t="s">
        <v>1165</v>
      </c>
      <c r="B758" s="138" t="s">
        <v>363</v>
      </c>
      <c r="C758" s="2" t="s">
        <v>198</v>
      </c>
      <c r="D758" s="2" t="s">
        <v>199</v>
      </c>
      <c r="E758" s="2" t="s">
        <v>432</v>
      </c>
      <c r="F758" s="139">
        <v>2</v>
      </c>
      <c r="G758" s="140">
        <v>0</v>
      </c>
      <c r="H758" s="140">
        <v>0</v>
      </c>
      <c r="I758" s="140">
        <v>0</v>
      </c>
      <c r="J758" s="140">
        <f t="shared" si="11"/>
        <v>2</v>
      </c>
      <c r="K758" s="3"/>
    </row>
    <row r="759" spans="1:11" x14ac:dyDescent="0.3">
      <c r="A759" s="4" t="s">
        <v>1166</v>
      </c>
      <c r="B759" s="138" t="s">
        <v>360</v>
      </c>
      <c r="C759" s="2" t="s">
        <v>202</v>
      </c>
      <c r="D759" s="2" t="s">
        <v>199</v>
      </c>
      <c r="E759" s="2" t="s">
        <v>454</v>
      </c>
      <c r="F759" s="139">
        <v>11</v>
      </c>
      <c r="G759" s="140">
        <v>0</v>
      </c>
      <c r="H759" s="140">
        <v>0</v>
      </c>
      <c r="I759" s="140">
        <v>0</v>
      </c>
      <c r="J759" s="140">
        <f t="shared" si="11"/>
        <v>11</v>
      </c>
      <c r="K759" s="3"/>
    </row>
    <row r="760" spans="1:11" x14ac:dyDescent="0.3">
      <c r="A760" s="4" t="s">
        <v>1167</v>
      </c>
      <c r="B760" s="138" t="s">
        <v>360</v>
      </c>
      <c r="C760" s="2" t="s">
        <v>202</v>
      </c>
      <c r="D760" s="2" t="s">
        <v>204</v>
      </c>
      <c r="E760" s="2" t="s">
        <v>370</v>
      </c>
      <c r="F760" s="139">
        <v>8</v>
      </c>
      <c r="G760" s="140">
        <v>0</v>
      </c>
      <c r="H760" s="140">
        <v>3</v>
      </c>
      <c r="I760" s="140">
        <v>0</v>
      </c>
      <c r="J760" s="140">
        <f t="shared" si="11"/>
        <v>11</v>
      </c>
      <c r="K760" s="3"/>
    </row>
    <row r="761" spans="1:11" x14ac:dyDescent="0.3">
      <c r="A761" s="4" t="s">
        <v>1168</v>
      </c>
      <c r="B761" s="138" t="s">
        <v>360</v>
      </c>
      <c r="C761" s="2" t="s">
        <v>202</v>
      </c>
      <c r="D761" s="2" t="s">
        <v>199</v>
      </c>
      <c r="E761" s="2" t="s">
        <v>459</v>
      </c>
      <c r="F761" s="139">
        <v>17</v>
      </c>
      <c r="G761" s="140">
        <v>0</v>
      </c>
      <c r="H761" s="140">
        <v>0</v>
      </c>
      <c r="I761" s="140">
        <v>0</v>
      </c>
      <c r="J761" s="140">
        <f t="shared" si="11"/>
        <v>17</v>
      </c>
      <c r="K761" s="3"/>
    </row>
    <row r="762" spans="1:11" x14ac:dyDescent="0.3">
      <c r="A762" s="4" t="s">
        <v>1169</v>
      </c>
      <c r="B762" s="138" t="s">
        <v>360</v>
      </c>
      <c r="C762" s="2" t="s">
        <v>188</v>
      </c>
      <c r="D762" s="2" t="s">
        <v>197</v>
      </c>
      <c r="E762" s="2" t="s">
        <v>862</v>
      </c>
      <c r="F762" s="139">
        <v>15</v>
      </c>
      <c r="G762" s="140">
        <v>0</v>
      </c>
      <c r="H762" s="140">
        <v>0</v>
      </c>
      <c r="I762" s="140">
        <v>0</v>
      </c>
      <c r="J762" s="140">
        <f t="shared" si="11"/>
        <v>15</v>
      </c>
      <c r="K762" s="3"/>
    </row>
    <row r="763" spans="1:11" x14ac:dyDescent="0.3">
      <c r="A763" s="4" t="s">
        <v>1170</v>
      </c>
      <c r="B763" s="138" t="s">
        <v>360</v>
      </c>
      <c r="C763" s="2" t="s">
        <v>188</v>
      </c>
      <c r="D763" s="2" t="s">
        <v>189</v>
      </c>
      <c r="E763" s="2" t="s">
        <v>387</v>
      </c>
      <c r="F763" s="139">
        <v>8</v>
      </c>
      <c r="G763" s="140">
        <v>5</v>
      </c>
      <c r="H763" s="140">
        <v>0</v>
      </c>
      <c r="I763" s="140">
        <v>0</v>
      </c>
      <c r="J763" s="140">
        <f t="shared" si="11"/>
        <v>13</v>
      </c>
      <c r="K763" s="3"/>
    </row>
    <row r="764" spans="1:11" x14ac:dyDescent="0.3">
      <c r="A764" s="4" t="s">
        <v>1171</v>
      </c>
      <c r="B764" s="138" t="s">
        <v>360</v>
      </c>
      <c r="C764" s="2" t="s">
        <v>202</v>
      </c>
      <c r="D764" s="2" t="s">
        <v>204</v>
      </c>
      <c r="E764" s="2" t="s">
        <v>370</v>
      </c>
      <c r="F764" s="139">
        <v>12</v>
      </c>
      <c r="G764" s="140">
        <v>0</v>
      </c>
      <c r="H764" s="140">
        <v>0</v>
      </c>
      <c r="I764" s="140">
        <v>0</v>
      </c>
      <c r="J764" s="140">
        <f t="shared" si="11"/>
        <v>12</v>
      </c>
      <c r="K764" s="3"/>
    </row>
    <row r="765" spans="1:11" x14ac:dyDescent="0.3">
      <c r="A765" s="4" t="s">
        <v>1172</v>
      </c>
      <c r="B765" s="138" t="s">
        <v>360</v>
      </c>
      <c r="C765" s="2" t="s">
        <v>202</v>
      </c>
      <c r="D765" s="2" t="s">
        <v>199</v>
      </c>
      <c r="E765" s="2" t="s">
        <v>415</v>
      </c>
      <c r="F765" s="139">
        <v>0</v>
      </c>
      <c r="G765" s="140">
        <v>0</v>
      </c>
      <c r="H765" s="140">
        <v>0</v>
      </c>
      <c r="I765" s="140">
        <v>0</v>
      </c>
      <c r="J765" s="140">
        <f t="shared" si="11"/>
        <v>0</v>
      </c>
      <c r="K765" s="3"/>
    </row>
    <row r="766" spans="1:11" x14ac:dyDescent="0.3">
      <c r="A766" s="4" t="s">
        <v>1173</v>
      </c>
      <c r="B766" s="138" t="s">
        <v>360</v>
      </c>
      <c r="C766" s="2" t="s">
        <v>202</v>
      </c>
      <c r="D766" s="2" t="s">
        <v>200</v>
      </c>
      <c r="E766" s="2" t="s">
        <v>417</v>
      </c>
      <c r="F766" s="139">
        <v>10</v>
      </c>
      <c r="G766" s="140">
        <v>12</v>
      </c>
      <c r="H766" s="140">
        <v>0</v>
      </c>
      <c r="I766" s="140">
        <v>0</v>
      </c>
      <c r="J766" s="140">
        <f t="shared" si="11"/>
        <v>22</v>
      </c>
      <c r="K766" s="3"/>
    </row>
    <row r="767" spans="1:11" x14ac:dyDescent="0.3">
      <c r="A767" s="4" t="s">
        <v>1174</v>
      </c>
      <c r="B767" s="138" t="s">
        <v>360</v>
      </c>
      <c r="C767" s="2" t="s">
        <v>202</v>
      </c>
      <c r="D767" s="2" t="s">
        <v>194</v>
      </c>
      <c r="E767" s="2" t="s">
        <v>488</v>
      </c>
      <c r="F767" s="139">
        <v>11</v>
      </c>
      <c r="G767" s="140">
        <v>0</v>
      </c>
      <c r="H767" s="140">
        <v>0</v>
      </c>
      <c r="I767" s="140">
        <v>15</v>
      </c>
      <c r="J767" s="140">
        <f t="shared" si="11"/>
        <v>26</v>
      </c>
      <c r="K767" s="3"/>
    </row>
    <row r="768" spans="1:11" x14ac:dyDescent="0.3">
      <c r="A768" s="4" t="s">
        <v>1175</v>
      </c>
      <c r="B768" s="138" t="s">
        <v>478</v>
      </c>
      <c r="C768" s="127" t="s">
        <v>205</v>
      </c>
      <c r="D768" s="2" t="s">
        <v>196</v>
      </c>
      <c r="E768" s="2" t="s">
        <v>479</v>
      </c>
      <c r="F768" s="139">
        <v>16</v>
      </c>
      <c r="G768" s="140">
        <v>0</v>
      </c>
      <c r="H768" s="140">
        <v>0</v>
      </c>
      <c r="I768" s="140">
        <v>0</v>
      </c>
      <c r="J768" s="140">
        <f t="shared" si="11"/>
        <v>16</v>
      </c>
      <c r="K768" s="3"/>
    </row>
    <row r="769" spans="1:11" x14ac:dyDescent="0.3">
      <c r="A769" s="4" t="s">
        <v>1176</v>
      </c>
      <c r="B769" s="138" t="s">
        <v>363</v>
      </c>
      <c r="C769" s="2" t="s">
        <v>198</v>
      </c>
      <c r="D769" s="2" t="s">
        <v>199</v>
      </c>
      <c r="E769" s="2" t="s">
        <v>432</v>
      </c>
      <c r="F769" s="139">
        <v>1</v>
      </c>
      <c r="G769" s="140">
        <v>0</v>
      </c>
      <c r="H769" s="140">
        <v>0</v>
      </c>
      <c r="I769" s="140">
        <v>0</v>
      </c>
      <c r="J769" s="140">
        <f t="shared" si="11"/>
        <v>1</v>
      </c>
      <c r="K769" s="3"/>
    </row>
    <row r="770" spans="1:11" x14ac:dyDescent="0.3">
      <c r="A770" s="4" t="s">
        <v>1177</v>
      </c>
      <c r="B770" s="138" t="s">
        <v>363</v>
      </c>
      <c r="C770" s="2" t="s">
        <v>198</v>
      </c>
      <c r="D770" s="2" t="s">
        <v>199</v>
      </c>
      <c r="E770" s="2" t="s">
        <v>364</v>
      </c>
      <c r="F770" s="139">
        <v>16</v>
      </c>
      <c r="G770" s="140">
        <v>0</v>
      </c>
      <c r="H770" s="140">
        <v>0</v>
      </c>
      <c r="I770" s="140">
        <v>11</v>
      </c>
      <c r="J770" s="140">
        <f t="shared" si="11"/>
        <v>27</v>
      </c>
      <c r="K770" s="3"/>
    </row>
    <row r="771" spans="1:11" x14ac:dyDescent="0.3">
      <c r="A771" s="4" t="s">
        <v>1178</v>
      </c>
      <c r="B771" s="138" t="s">
        <v>360</v>
      </c>
      <c r="C771" s="2" t="s">
        <v>202</v>
      </c>
      <c r="D771" s="2" t="s">
        <v>204</v>
      </c>
      <c r="E771" s="2" t="s">
        <v>412</v>
      </c>
      <c r="F771" s="139">
        <v>3</v>
      </c>
      <c r="G771" s="140">
        <v>0</v>
      </c>
      <c r="H771" s="140">
        <v>0</v>
      </c>
      <c r="I771" s="140">
        <v>0</v>
      </c>
      <c r="J771" s="140">
        <f t="shared" si="11"/>
        <v>3</v>
      </c>
      <c r="K771" s="3"/>
    </row>
    <row r="772" spans="1:11" x14ac:dyDescent="0.3">
      <c r="A772" s="4" t="s">
        <v>1179</v>
      </c>
      <c r="B772" s="138" t="s">
        <v>360</v>
      </c>
      <c r="C772" s="2" t="s">
        <v>202</v>
      </c>
      <c r="D772" s="2" t="s">
        <v>204</v>
      </c>
      <c r="E772" s="2" t="s">
        <v>471</v>
      </c>
      <c r="F772" s="139">
        <v>2</v>
      </c>
      <c r="G772" s="140">
        <v>0</v>
      </c>
      <c r="H772" s="140">
        <v>0</v>
      </c>
      <c r="I772" s="140">
        <v>0</v>
      </c>
      <c r="J772" s="140">
        <f t="shared" si="11"/>
        <v>2</v>
      </c>
      <c r="K772" s="3"/>
    </row>
    <row r="773" spans="1:11" x14ac:dyDescent="0.3">
      <c r="A773" s="4" t="s">
        <v>1180</v>
      </c>
      <c r="B773" s="138" t="s">
        <v>360</v>
      </c>
      <c r="C773" s="2" t="s">
        <v>202</v>
      </c>
      <c r="D773" s="2" t="s">
        <v>204</v>
      </c>
      <c r="E773" s="2" t="s">
        <v>538</v>
      </c>
      <c r="F773" s="139">
        <v>0</v>
      </c>
      <c r="G773" s="140">
        <v>0</v>
      </c>
      <c r="H773" s="140">
        <v>0</v>
      </c>
      <c r="I773" s="140">
        <v>0</v>
      </c>
      <c r="J773" s="140">
        <f t="shared" ref="J773:J836" si="12">SUM(F773:I773)</f>
        <v>0</v>
      </c>
      <c r="K773" s="3"/>
    </row>
    <row r="774" spans="1:11" x14ac:dyDescent="0.3">
      <c r="A774" s="4" t="s">
        <v>1181</v>
      </c>
      <c r="B774" s="138" t="s">
        <v>363</v>
      </c>
      <c r="C774" s="2" t="s">
        <v>206</v>
      </c>
      <c r="D774" s="2" t="s">
        <v>207</v>
      </c>
      <c r="E774" s="2" t="s">
        <v>443</v>
      </c>
      <c r="F774" s="139">
        <v>3</v>
      </c>
      <c r="G774" s="140">
        <v>0</v>
      </c>
      <c r="H774" s="140">
        <v>0</v>
      </c>
      <c r="I774" s="140">
        <v>0</v>
      </c>
      <c r="J774" s="140">
        <f t="shared" si="12"/>
        <v>3</v>
      </c>
      <c r="K774" s="3"/>
    </row>
    <row r="775" spans="1:11" x14ac:dyDescent="0.3">
      <c r="A775" s="4" t="s">
        <v>1182</v>
      </c>
      <c r="B775" s="138" t="s">
        <v>363</v>
      </c>
      <c r="C775" s="2" t="s">
        <v>198</v>
      </c>
      <c r="D775" s="2" t="s">
        <v>200</v>
      </c>
      <c r="E775" s="2" t="s">
        <v>372</v>
      </c>
      <c r="F775" s="139">
        <v>1</v>
      </c>
      <c r="G775" s="140">
        <v>0</v>
      </c>
      <c r="H775" s="140">
        <v>0</v>
      </c>
      <c r="I775" s="140">
        <v>0</v>
      </c>
      <c r="J775" s="140">
        <f t="shared" si="12"/>
        <v>1</v>
      </c>
      <c r="K775" s="3"/>
    </row>
    <row r="776" spans="1:11" x14ac:dyDescent="0.3">
      <c r="A776" s="4" t="s">
        <v>1183</v>
      </c>
      <c r="B776" s="138" t="s">
        <v>360</v>
      </c>
      <c r="C776" s="2" t="s">
        <v>188</v>
      </c>
      <c r="D776" s="2" t="s">
        <v>189</v>
      </c>
      <c r="E776" s="2" t="s">
        <v>421</v>
      </c>
      <c r="F776" s="139">
        <v>7</v>
      </c>
      <c r="G776" s="140">
        <v>0</v>
      </c>
      <c r="H776" s="140">
        <v>0</v>
      </c>
      <c r="I776" s="140">
        <v>0</v>
      </c>
      <c r="J776" s="140">
        <f t="shared" si="12"/>
        <v>7</v>
      </c>
      <c r="K776" s="3"/>
    </row>
    <row r="777" spans="1:11" x14ac:dyDescent="0.3">
      <c r="A777" s="4" t="s">
        <v>1184</v>
      </c>
      <c r="B777" s="138" t="s">
        <v>360</v>
      </c>
      <c r="C777" s="2" t="s">
        <v>202</v>
      </c>
      <c r="D777" s="2" t="s">
        <v>197</v>
      </c>
      <c r="E777" s="2" t="s">
        <v>580</v>
      </c>
      <c r="F777" s="139">
        <v>0</v>
      </c>
      <c r="G777" s="140">
        <v>20</v>
      </c>
      <c r="H777" s="140">
        <v>0</v>
      </c>
      <c r="I777" s="140">
        <v>0</v>
      </c>
      <c r="J777" s="140">
        <f t="shared" si="12"/>
        <v>20</v>
      </c>
      <c r="K777" s="3"/>
    </row>
    <row r="778" spans="1:11" x14ac:dyDescent="0.3">
      <c r="A778" s="4" t="s">
        <v>1185</v>
      </c>
      <c r="B778" s="138" t="s">
        <v>360</v>
      </c>
      <c r="C778" s="2" t="s">
        <v>202</v>
      </c>
      <c r="D778" s="2" t="s">
        <v>204</v>
      </c>
      <c r="E778" s="2" t="s">
        <v>538</v>
      </c>
      <c r="F778" s="139">
        <v>6</v>
      </c>
      <c r="G778" s="140">
        <v>0</v>
      </c>
      <c r="H778" s="140">
        <v>0</v>
      </c>
      <c r="I778" s="140">
        <v>0</v>
      </c>
      <c r="J778" s="140">
        <f t="shared" si="12"/>
        <v>6</v>
      </c>
      <c r="K778" s="3"/>
    </row>
    <row r="779" spans="1:11" x14ac:dyDescent="0.3">
      <c r="A779" s="4" t="s">
        <v>1186</v>
      </c>
      <c r="B779" s="138" t="s">
        <v>363</v>
      </c>
      <c r="C779" s="2" t="s">
        <v>198</v>
      </c>
      <c r="D779" s="2" t="s">
        <v>197</v>
      </c>
      <c r="E779" s="2" t="s">
        <v>409</v>
      </c>
      <c r="F779" s="139">
        <v>11</v>
      </c>
      <c r="G779" s="140">
        <v>0</v>
      </c>
      <c r="H779" s="140">
        <v>0</v>
      </c>
      <c r="I779" s="140">
        <v>0</v>
      </c>
      <c r="J779" s="140">
        <f t="shared" si="12"/>
        <v>11</v>
      </c>
      <c r="K779" s="3"/>
    </row>
    <row r="780" spans="1:11" x14ac:dyDescent="0.3">
      <c r="A780" s="4" t="s">
        <v>1187</v>
      </c>
      <c r="B780" s="138" t="s">
        <v>360</v>
      </c>
      <c r="C780" s="2" t="s">
        <v>188</v>
      </c>
      <c r="D780" s="2" t="s">
        <v>196</v>
      </c>
      <c r="E780" s="2" t="s">
        <v>423</v>
      </c>
      <c r="F780" s="139">
        <v>8</v>
      </c>
      <c r="G780" s="140">
        <v>0</v>
      </c>
      <c r="H780" s="140">
        <v>0</v>
      </c>
      <c r="I780" s="140">
        <v>0</v>
      </c>
      <c r="J780" s="140">
        <f t="shared" si="12"/>
        <v>8</v>
      </c>
      <c r="K780" s="3"/>
    </row>
    <row r="781" spans="1:11" x14ac:dyDescent="0.3">
      <c r="A781" s="4" t="s">
        <v>1188</v>
      </c>
      <c r="B781" s="138" t="s">
        <v>360</v>
      </c>
      <c r="C781" s="2" t="s">
        <v>209</v>
      </c>
      <c r="D781" s="2" t="s">
        <v>207</v>
      </c>
      <c r="E781" s="2" t="s">
        <v>382</v>
      </c>
      <c r="F781" s="139">
        <v>3</v>
      </c>
      <c r="G781" s="140">
        <v>0</v>
      </c>
      <c r="H781" s="140">
        <v>0</v>
      </c>
      <c r="I781" s="140">
        <v>0</v>
      </c>
      <c r="J781" s="140">
        <f t="shared" si="12"/>
        <v>3</v>
      </c>
      <c r="K781" s="3"/>
    </row>
    <row r="782" spans="1:11" x14ac:dyDescent="0.3">
      <c r="A782" s="4" t="s">
        <v>1189</v>
      </c>
      <c r="B782" s="138" t="s">
        <v>360</v>
      </c>
      <c r="C782" s="2" t="s">
        <v>202</v>
      </c>
      <c r="D782" s="2" t="s">
        <v>204</v>
      </c>
      <c r="E782" s="2" t="s">
        <v>457</v>
      </c>
      <c r="F782" s="139">
        <v>2</v>
      </c>
      <c r="G782" s="140">
        <v>0</v>
      </c>
      <c r="H782" s="140">
        <v>0</v>
      </c>
      <c r="I782" s="140">
        <v>0</v>
      </c>
      <c r="J782" s="140">
        <f t="shared" si="12"/>
        <v>2</v>
      </c>
      <c r="K782" s="3"/>
    </row>
    <row r="783" spans="1:11" x14ac:dyDescent="0.3">
      <c r="A783" s="4" t="s">
        <v>1190</v>
      </c>
      <c r="B783" s="138" t="s">
        <v>363</v>
      </c>
      <c r="C783" s="2" t="s">
        <v>206</v>
      </c>
      <c r="D783" s="2" t="s">
        <v>189</v>
      </c>
      <c r="E783" s="2" t="s">
        <v>541</v>
      </c>
      <c r="F783" s="139">
        <v>17</v>
      </c>
      <c r="G783" s="140">
        <v>0</v>
      </c>
      <c r="H783" s="140">
        <v>0</v>
      </c>
      <c r="I783" s="140">
        <v>0</v>
      </c>
      <c r="J783" s="140">
        <f t="shared" si="12"/>
        <v>17</v>
      </c>
      <c r="K783" s="3"/>
    </row>
    <row r="784" spans="1:11" x14ac:dyDescent="0.3">
      <c r="A784" s="4" t="s">
        <v>1191</v>
      </c>
      <c r="B784" s="138" t="s">
        <v>360</v>
      </c>
      <c r="C784" s="2" t="s">
        <v>202</v>
      </c>
      <c r="D784" s="2" t="s">
        <v>199</v>
      </c>
      <c r="E784" s="2" t="s">
        <v>378</v>
      </c>
      <c r="F784" s="139">
        <v>8</v>
      </c>
      <c r="G784" s="140">
        <v>0</v>
      </c>
      <c r="H784" s="140">
        <v>0</v>
      </c>
      <c r="I784" s="140">
        <v>0</v>
      </c>
      <c r="J784" s="140">
        <f t="shared" si="12"/>
        <v>8</v>
      </c>
      <c r="K784" s="3"/>
    </row>
    <row r="785" spans="1:11" x14ac:dyDescent="0.3">
      <c r="A785" s="4" t="s">
        <v>1192</v>
      </c>
      <c r="B785" s="138" t="s">
        <v>363</v>
      </c>
      <c r="C785" s="2" t="s">
        <v>208</v>
      </c>
      <c r="D785" s="2" t="s">
        <v>194</v>
      </c>
      <c r="E785" s="2" t="s">
        <v>434</v>
      </c>
      <c r="F785" s="139">
        <v>7</v>
      </c>
      <c r="G785" s="140">
        <v>0</v>
      </c>
      <c r="H785" s="140">
        <v>0</v>
      </c>
      <c r="I785" s="140">
        <v>0</v>
      </c>
      <c r="J785" s="140">
        <f t="shared" si="12"/>
        <v>7</v>
      </c>
      <c r="K785" s="3"/>
    </row>
    <row r="786" spans="1:11" x14ac:dyDescent="0.3">
      <c r="A786" s="4" t="s">
        <v>1193</v>
      </c>
      <c r="B786" s="138" t="s">
        <v>360</v>
      </c>
      <c r="C786" s="2" t="s">
        <v>209</v>
      </c>
      <c r="D786" s="2" t="s">
        <v>207</v>
      </c>
      <c r="E786" s="2" t="s">
        <v>374</v>
      </c>
      <c r="F786" s="139">
        <v>17</v>
      </c>
      <c r="G786" s="140">
        <v>0</v>
      </c>
      <c r="H786" s="140">
        <v>0</v>
      </c>
      <c r="I786" s="140">
        <v>12</v>
      </c>
      <c r="J786" s="140">
        <f t="shared" si="12"/>
        <v>29</v>
      </c>
      <c r="K786" s="3"/>
    </row>
    <row r="787" spans="1:11" x14ac:dyDescent="0.3">
      <c r="A787" s="4" t="s">
        <v>1194</v>
      </c>
      <c r="B787" s="138" t="s">
        <v>360</v>
      </c>
      <c r="C787" s="2" t="s">
        <v>202</v>
      </c>
      <c r="D787" s="127" t="s">
        <v>203</v>
      </c>
      <c r="E787" s="2" t="s">
        <v>399</v>
      </c>
      <c r="F787" s="139">
        <v>1</v>
      </c>
      <c r="G787" s="140">
        <v>0</v>
      </c>
      <c r="H787" s="140">
        <v>0</v>
      </c>
      <c r="I787" s="140">
        <v>0</v>
      </c>
      <c r="J787" s="140">
        <f t="shared" si="12"/>
        <v>1</v>
      </c>
      <c r="K787" s="3"/>
    </row>
    <row r="788" spans="1:11" x14ac:dyDescent="0.3">
      <c r="A788" s="4" t="s">
        <v>1195</v>
      </c>
      <c r="B788" s="138" t="s">
        <v>360</v>
      </c>
      <c r="C788" s="2" t="s">
        <v>202</v>
      </c>
      <c r="D788" s="2" t="s">
        <v>194</v>
      </c>
      <c r="E788" s="2" t="s">
        <v>488</v>
      </c>
      <c r="F788" s="139">
        <v>16</v>
      </c>
      <c r="G788" s="140">
        <v>0</v>
      </c>
      <c r="H788" s="140">
        <v>0</v>
      </c>
      <c r="I788" s="140">
        <v>0</v>
      </c>
      <c r="J788" s="140">
        <f t="shared" si="12"/>
        <v>16</v>
      </c>
      <c r="K788" s="3"/>
    </row>
    <row r="789" spans="1:11" x14ac:dyDescent="0.3">
      <c r="A789" s="4" t="s">
        <v>1196</v>
      </c>
      <c r="B789" s="138" t="s">
        <v>363</v>
      </c>
      <c r="C789" s="2" t="s">
        <v>198</v>
      </c>
      <c r="D789" s="2" t="s">
        <v>200</v>
      </c>
      <c r="E789" s="2" t="s">
        <v>372</v>
      </c>
      <c r="F789" s="139">
        <v>4</v>
      </c>
      <c r="G789" s="140">
        <v>0</v>
      </c>
      <c r="H789" s="140">
        <v>0</v>
      </c>
      <c r="I789" s="140">
        <v>0</v>
      </c>
      <c r="J789" s="140">
        <f t="shared" si="12"/>
        <v>4</v>
      </c>
      <c r="K789" s="3"/>
    </row>
    <row r="790" spans="1:11" x14ac:dyDescent="0.3">
      <c r="A790" s="4" t="s">
        <v>1197</v>
      </c>
      <c r="B790" s="138" t="s">
        <v>478</v>
      </c>
      <c r="C790" s="127" t="s">
        <v>205</v>
      </c>
      <c r="D790" s="2" t="s">
        <v>189</v>
      </c>
      <c r="E790" s="2" t="s">
        <v>498</v>
      </c>
      <c r="F790" s="139">
        <v>9</v>
      </c>
      <c r="G790" s="140">
        <v>2</v>
      </c>
      <c r="H790" s="140">
        <v>0</v>
      </c>
      <c r="I790" s="140">
        <v>0</v>
      </c>
      <c r="J790" s="140">
        <f t="shared" si="12"/>
        <v>11</v>
      </c>
      <c r="K790" s="3"/>
    </row>
    <row r="791" spans="1:11" x14ac:dyDescent="0.3">
      <c r="A791" s="4" t="s">
        <v>1198</v>
      </c>
      <c r="B791" s="138" t="s">
        <v>360</v>
      </c>
      <c r="C791" s="2" t="s">
        <v>202</v>
      </c>
      <c r="D791" s="2" t="s">
        <v>200</v>
      </c>
      <c r="E791" s="2" t="s">
        <v>707</v>
      </c>
      <c r="F791" s="139">
        <v>2</v>
      </c>
      <c r="G791" s="140">
        <v>0</v>
      </c>
      <c r="H791" s="140">
        <v>0</v>
      </c>
      <c r="I791" s="140">
        <v>0</v>
      </c>
      <c r="J791" s="140">
        <f t="shared" si="12"/>
        <v>2</v>
      </c>
      <c r="K791" s="3"/>
    </row>
    <row r="792" spans="1:11" x14ac:dyDescent="0.3">
      <c r="A792" s="4" t="s">
        <v>1199</v>
      </c>
      <c r="B792" s="138" t="s">
        <v>360</v>
      </c>
      <c r="C792" s="2" t="s">
        <v>202</v>
      </c>
      <c r="D792" s="2" t="s">
        <v>199</v>
      </c>
      <c r="E792" s="2" t="s">
        <v>415</v>
      </c>
      <c r="F792" s="139">
        <v>3</v>
      </c>
      <c r="G792" s="140">
        <v>0</v>
      </c>
      <c r="H792" s="140">
        <v>0</v>
      </c>
      <c r="I792" s="140">
        <v>0</v>
      </c>
      <c r="J792" s="140">
        <f t="shared" si="12"/>
        <v>3</v>
      </c>
      <c r="K792" s="3"/>
    </row>
    <row r="793" spans="1:11" x14ac:dyDescent="0.3">
      <c r="A793" s="4" t="s">
        <v>1200</v>
      </c>
      <c r="B793" s="138" t="s">
        <v>360</v>
      </c>
      <c r="C793" s="2" t="s">
        <v>202</v>
      </c>
      <c r="D793" s="2" t="s">
        <v>204</v>
      </c>
      <c r="E793" s="2" t="s">
        <v>419</v>
      </c>
      <c r="F793" s="139">
        <v>3</v>
      </c>
      <c r="G793" s="140">
        <v>0</v>
      </c>
      <c r="H793" s="140">
        <v>0</v>
      </c>
      <c r="I793" s="140">
        <v>0</v>
      </c>
      <c r="J793" s="140">
        <f t="shared" si="12"/>
        <v>3</v>
      </c>
      <c r="K793" s="3"/>
    </row>
    <row r="794" spans="1:11" x14ac:dyDescent="0.3">
      <c r="A794" s="4" t="s">
        <v>1201</v>
      </c>
      <c r="B794" s="138" t="s">
        <v>360</v>
      </c>
      <c r="C794" s="2" t="s">
        <v>202</v>
      </c>
      <c r="D794" s="2" t="s">
        <v>199</v>
      </c>
      <c r="E794" s="2" t="s">
        <v>428</v>
      </c>
      <c r="F794" s="139">
        <v>2</v>
      </c>
      <c r="G794" s="140">
        <v>0</v>
      </c>
      <c r="H794" s="140">
        <v>0</v>
      </c>
      <c r="I794" s="140">
        <v>0</v>
      </c>
      <c r="J794" s="140">
        <f t="shared" si="12"/>
        <v>2</v>
      </c>
      <c r="K794" s="3"/>
    </row>
    <row r="795" spans="1:11" x14ac:dyDescent="0.3">
      <c r="A795" s="4" t="s">
        <v>1202</v>
      </c>
      <c r="B795" s="138" t="s">
        <v>360</v>
      </c>
      <c r="C795" s="2" t="s">
        <v>202</v>
      </c>
      <c r="D795" s="127" t="s">
        <v>203</v>
      </c>
      <c r="E795" s="2" t="s">
        <v>399</v>
      </c>
      <c r="F795" s="139">
        <v>6</v>
      </c>
      <c r="G795" s="140">
        <v>21</v>
      </c>
      <c r="H795" s="140">
        <v>0</v>
      </c>
      <c r="I795" s="140">
        <v>0</v>
      </c>
      <c r="J795" s="140">
        <f t="shared" si="12"/>
        <v>27</v>
      </c>
      <c r="K795" s="3"/>
    </row>
    <row r="796" spans="1:11" x14ac:dyDescent="0.3">
      <c r="A796" s="4" t="s">
        <v>1203</v>
      </c>
      <c r="B796" s="138" t="s">
        <v>360</v>
      </c>
      <c r="C796" s="2" t="s">
        <v>202</v>
      </c>
      <c r="D796" s="2" t="s">
        <v>204</v>
      </c>
      <c r="E796" s="2" t="s">
        <v>370</v>
      </c>
      <c r="F796" s="139">
        <v>3</v>
      </c>
      <c r="G796" s="140">
        <v>0</v>
      </c>
      <c r="H796" s="140">
        <v>0</v>
      </c>
      <c r="I796" s="140">
        <v>0</v>
      </c>
      <c r="J796" s="140">
        <f t="shared" si="12"/>
        <v>3</v>
      </c>
      <c r="K796" s="3"/>
    </row>
    <row r="797" spans="1:11" x14ac:dyDescent="0.3">
      <c r="A797" s="4" t="s">
        <v>1204</v>
      </c>
      <c r="B797" s="138" t="s">
        <v>360</v>
      </c>
      <c r="C797" s="2" t="s">
        <v>188</v>
      </c>
      <c r="D797" s="2" t="s">
        <v>194</v>
      </c>
      <c r="E797" s="2" t="s">
        <v>488</v>
      </c>
      <c r="F797" s="139">
        <v>15</v>
      </c>
      <c r="G797" s="140">
        <v>0</v>
      </c>
      <c r="H797" s="140">
        <v>0</v>
      </c>
      <c r="I797" s="140">
        <v>4</v>
      </c>
      <c r="J797" s="140">
        <f t="shared" si="12"/>
        <v>19</v>
      </c>
      <c r="K797" s="3"/>
    </row>
    <row r="798" spans="1:11" x14ac:dyDescent="0.3">
      <c r="A798" s="4" t="s">
        <v>1205</v>
      </c>
      <c r="B798" s="138" t="s">
        <v>360</v>
      </c>
      <c r="C798" s="2" t="s">
        <v>202</v>
      </c>
      <c r="D798" s="2" t="s">
        <v>204</v>
      </c>
      <c r="E798" s="2" t="s">
        <v>361</v>
      </c>
      <c r="F798" s="139">
        <v>1</v>
      </c>
      <c r="G798" s="140">
        <v>0</v>
      </c>
      <c r="H798" s="140">
        <v>0</v>
      </c>
      <c r="I798" s="140">
        <v>0</v>
      </c>
      <c r="J798" s="140">
        <f t="shared" si="12"/>
        <v>1</v>
      </c>
      <c r="K798" s="3"/>
    </row>
    <row r="799" spans="1:11" x14ac:dyDescent="0.3">
      <c r="A799" s="4" t="s">
        <v>1206</v>
      </c>
      <c r="B799" s="138" t="s">
        <v>363</v>
      </c>
      <c r="C799" s="2" t="s">
        <v>206</v>
      </c>
      <c r="D799" s="2" t="s">
        <v>189</v>
      </c>
      <c r="E799" s="2" t="s">
        <v>541</v>
      </c>
      <c r="F799" s="139">
        <v>16</v>
      </c>
      <c r="G799" s="140">
        <v>0</v>
      </c>
      <c r="H799" s="140">
        <v>0</v>
      </c>
      <c r="I799" s="140">
        <v>0</v>
      </c>
      <c r="J799" s="140">
        <f t="shared" si="12"/>
        <v>16</v>
      </c>
      <c r="K799" s="3"/>
    </row>
    <row r="800" spans="1:11" x14ac:dyDescent="0.3">
      <c r="A800" s="4" t="s">
        <v>1207</v>
      </c>
      <c r="B800" s="138" t="s">
        <v>360</v>
      </c>
      <c r="C800" s="127" t="s">
        <v>201</v>
      </c>
      <c r="D800" s="2" t="s">
        <v>197</v>
      </c>
      <c r="E800" s="2" t="s">
        <v>405</v>
      </c>
      <c r="F800" s="139">
        <v>2</v>
      </c>
      <c r="G800" s="140">
        <v>0</v>
      </c>
      <c r="H800" s="140">
        <v>0</v>
      </c>
      <c r="I800" s="140">
        <v>0</v>
      </c>
      <c r="J800" s="140">
        <f t="shared" si="12"/>
        <v>2</v>
      </c>
      <c r="K800" s="3"/>
    </row>
    <row r="801" spans="1:11" x14ac:dyDescent="0.3">
      <c r="A801" s="4" t="s">
        <v>1208</v>
      </c>
      <c r="B801" s="138" t="s">
        <v>363</v>
      </c>
      <c r="C801" s="2" t="s">
        <v>206</v>
      </c>
      <c r="D801" s="2" t="s">
        <v>197</v>
      </c>
      <c r="E801" s="2" t="s">
        <v>637</v>
      </c>
      <c r="F801" s="139">
        <v>7</v>
      </c>
      <c r="G801" s="140">
        <v>0</v>
      </c>
      <c r="H801" s="140">
        <v>0</v>
      </c>
      <c r="I801" s="140">
        <v>0</v>
      </c>
      <c r="J801" s="140">
        <f t="shared" si="12"/>
        <v>7</v>
      </c>
      <c r="K801" s="3"/>
    </row>
    <row r="802" spans="1:11" x14ac:dyDescent="0.3">
      <c r="A802" s="4" t="s">
        <v>1209</v>
      </c>
      <c r="B802" s="138" t="s">
        <v>360</v>
      </c>
      <c r="C802" s="2" t="s">
        <v>202</v>
      </c>
      <c r="D802" s="2" t="s">
        <v>204</v>
      </c>
      <c r="E802" s="2" t="s">
        <v>538</v>
      </c>
      <c r="F802" s="139">
        <v>0</v>
      </c>
      <c r="G802" s="140">
        <v>0</v>
      </c>
      <c r="H802" s="140">
        <v>0</v>
      </c>
      <c r="I802" s="140">
        <v>0</v>
      </c>
      <c r="J802" s="140">
        <f t="shared" si="12"/>
        <v>0</v>
      </c>
      <c r="K802" s="3"/>
    </row>
    <row r="803" spans="1:11" x14ac:dyDescent="0.3">
      <c r="A803" s="4" t="s">
        <v>1210</v>
      </c>
      <c r="B803" s="138" t="s">
        <v>360</v>
      </c>
      <c r="C803" s="2" t="s">
        <v>202</v>
      </c>
      <c r="D803" s="2" t="s">
        <v>204</v>
      </c>
      <c r="E803" s="2" t="s">
        <v>419</v>
      </c>
      <c r="F803" s="139">
        <v>14</v>
      </c>
      <c r="G803" s="140">
        <v>0</v>
      </c>
      <c r="H803" s="140">
        <v>0</v>
      </c>
      <c r="I803" s="140">
        <v>0</v>
      </c>
      <c r="J803" s="140">
        <f t="shared" si="12"/>
        <v>14</v>
      </c>
      <c r="K803" s="3"/>
    </row>
    <row r="804" spans="1:11" x14ac:dyDescent="0.3">
      <c r="A804" s="4" t="s">
        <v>1211</v>
      </c>
      <c r="B804" s="138" t="s">
        <v>360</v>
      </c>
      <c r="C804" s="2" t="s">
        <v>188</v>
      </c>
      <c r="D804" s="2" t="s">
        <v>196</v>
      </c>
      <c r="E804" s="2" t="s">
        <v>395</v>
      </c>
      <c r="F804" s="139">
        <v>3</v>
      </c>
      <c r="G804" s="140">
        <v>0</v>
      </c>
      <c r="H804" s="140">
        <v>0</v>
      </c>
      <c r="I804" s="140">
        <v>0</v>
      </c>
      <c r="J804" s="140">
        <f t="shared" si="12"/>
        <v>3</v>
      </c>
      <c r="K804" s="3"/>
    </row>
    <row r="805" spans="1:11" x14ac:dyDescent="0.3">
      <c r="A805" s="4" t="s">
        <v>1212</v>
      </c>
      <c r="B805" s="138" t="s">
        <v>360</v>
      </c>
      <c r="C805" s="2" t="s">
        <v>202</v>
      </c>
      <c r="D805" s="2" t="s">
        <v>199</v>
      </c>
      <c r="E805" s="2" t="s">
        <v>459</v>
      </c>
      <c r="F805" s="139">
        <v>9</v>
      </c>
      <c r="G805" s="140">
        <v>0</v>
      </c>
      <c r="H805" s="140">
        <v>0</v>
      </c>
      <c r="I805" s="140">
        <v>0</v>
      </c>
      <c r="J805" s="140">
        <f t="shared" si="12"/>
        <v>9</v>
      </c>
      <c r="K805" s="3"/>
    </row>
    <row r="806" spans="1:11" x14ac:dyDescent="0.3">
      <c r="A806" s="4" t="s">
        <v>1213</v>
      </c>
      <c r="B806" s="138" t="s">
        <v>360</v>
      </c>
      <c r="C806" s="2" t="s">
        <v>202</v>
      </c>
      <c r="D806" s="2" t="s">
        <v>204</v>
      </c>
      <c r="E806" s="2" t="s">
        <v>419</v>
      </c>
      <c r="F806" s="139">
        <v>10</v>
      </c>
      <c r="G806" s="140">
        <v>0</v>
      </c>
      <c r="H806" s="140">
        <v>0</v>
      </c>
      <c r="I806" s="140">
        <v>0</v>
      </c>
      <c r="J806" s="140">
        <f t="shared" si="12"/>
        <v>10</v>
      </c>
      <c r="K806" s="3"/>
    </row>
    <row r="807" spans="1:11" x14ac:dyDescent="0.3">
      <c r="A807" s="4" t="s">
        <v>1214</v>
      </c>
      <c r="B807" s="138" t="s">
        <v>360</v>
      </c>
      <c r="C807" s="2" t="s">
        <v>209</v>
      </c>
      <c r="D807" s="2" t="s">
        <v>207</v>
      </c>
      <c r="E807" s="2" t="s">
        <v>382</v>
      </c>
      <c r="F807" s="139">
        <v>16</v>
      </c>
      <c r="G807" s="140">
        <v>0</v>
      </c>
      <c r="H807" s="140">
        <v>0</v>
      </c>
      <c r="I807" s="140">
        <v>0</v>
      </c>
      <c r="J807" s="140">
        <f t="shared" si="12"/>
        <v>16</v>
      </c>
      <c r="K807" s="3"/>
    </row>
    <row r="808" spans="1:11" x14ac:dyDescent="0.3">
      <c r="A808" s="4" t="s">
        <v>1215</v>
      </c>
      <c r="B808" s="138" t="s">
        <v>360</v>
      </c>
      <c r="C808" s="2" t="s">
        <v>188</v>
      </c>
      <c r="D808" s="2" t="s">
        <v>196</v>
      </c>
      <c r="E808" s="2" t="s">
        <v>423</v>
      </c>
      <c r="F808" s="139">
        <v>1</v>
      </c>
      <c r="G808" s="140">
        <v>0</v>
      </c>
      <c r="H808" s="140">
        <v>0</v>
      </c>
      <c r="I808" s="140">
        <v>0</v>
      </c>
      <c r="J808" s="140">
        <f t="shared" si="12"/>
        <v>1</v>
      </c>
      <c r="K808" s="3"/>
    </row>
    <row r="809" spans="1:11" x14ac:dyDescent="0.3">
      <c r="A809" s="4" t="s">
        <v>1216</v>
      </c>
      <c r="B809" s="138" t="s">
        <v>360</v>
      </c>
      <c r="C809" s="2" t="s">
        <v>188</v>
      </c>
      <c r="D809" s="2" t="s">
        <v>189</v>
      </c>
      <c r="E809" s="2" t="s">
        <v>421</v>
      </c>
      <c r="F809" s="139">
        <v>0</v>
      </c>
      <c r="G809" s="140">
        <v>0</v>
      </c>
      <c r="H809" s="140">
        <v>0</v>
      </c>
      <c r="I809" s="140">
        <v>0</v>
      </c>
      <c r="J809" s="140">
        <f t="shared" si="12"/>
        <v>0</v>
      </c>
      <c r="K809" s="3"/>
    </row>
    <row r="810" spans="1:11" x14ac:dyDescent="0.3">
      <c r="A810" s="4" t="s">
        <v>1217</v>
      </c>
      <c r="B810" s="138" t="s">
        <v>363</v>
      </c>
      <c r="C810" s="2" t="s">
        <v>198</v>
      </c>
      <c r="D810" s="2" t="s">
        <v>199</v>
      </c>
      <c r="E810" s="2" t="s">
        <v>402</v>
      </c>
      <c r="F810" s="139">
        <v>3</v>
      </c>
      <c r="G810" s="140">
        <v>4</v>
      </c>
      <c r="H810" s="140">
        <v>0</v>
      </c>
      <c r="I810" s="140">
        <v>0</v>
      </c>
      <c r="J810" s="140">
        <f t="shared" si="12"/>
        <v>7</v>
      </c>
      <c r="K810" s="3"/>
    </row>
    <row r="811" spans="1:11" x14ac:dyDescent="0.3">
      <c r="A811" s="4" t="s">
        <v>1218</v>
      </c>
      <c r="B811" s="138" t="s">
        <v>360</v>
      </c>
      <c r="C811" s="127" t="s">
        <v>201</v>
      </c>
      <c r="D811" s="2" t="s">
        <v>197</v>
      </c>
      <c r="E811" s="2" t="s">
        <v>405</v>
      </c>
      <c r="F811" s="139">
        <v>0</v>
      </c>
      <c r="G811" s="140">
        <v>0</v>
      </c>
      <c r="H811" s="140">
        <v>0</v>
      </c>
      <c r="I811" s="140">
        <v>0</v>
      </c>
      <c r="J811" s="140">
        <f t="shared" si="12"/>
        <v>0</v>
      </c>
      <c r="K811" s="3"/>
    </row>
    <row r="812" spans="1:11" x14ac:dyDescent="0.3">
      <c r="A812" s="4" t="s">
        <v>1219</v>
      </c>
      <c r="B812" s="138" t="s">
        <v>360</v>
      </c>
      <c r="C812" s="2" t="s">
        <v>188</v>
      </c>
      <c r="D812" s="2" t="s">
        <v>189</v>
      </c>
      <c r="E812" s="2" t="s">
        <v>421</v>
      </c>
      <c r="F812" s="139">
        <v>1</v>
      </c>
      <c r="G812" s="140">
        <v>0</v>
      </c>
      <c r="H812" s="140">
        <v>0</v>
      </c>
      <c r="I812" s="140">
        <v>0</v>
      </c>
      <c r="J812" s="140">
        <f t="shared" si="12"/>
        <v>1</v>
      </c>
      <c r="K812" s="3"/>
    </row>
    <row r="813" spans="1:11" x14ac:dyDescent="0.3">
      <c r="A813" s="4" t="s">
        <v>1220</v>
      </c>
      <c r="B813" s="138" t="s">
        <v>360</v>
      </c>
      <c r="C813" s="2" t="s">
        <v>202</v>
      </c>
      <c r="D813" s="2" t="s">
        <v>204</v>
      </c>
      <c r="E813" s="2" t="s">
        <v>366</v>
      </c>
      <c r="F813" s="139">
        <v>1</v>
      </c>
      <c r="G813" s="140">
        <v>0</v>
      </c>
      <c r="H813" s="140">
        <v>0</v>
      </c>
      <c r="I813" s="140">
        <v>0</v>
      </c>
      <c r="J813" s="140">
        <f t="shared" si="12"/>
        <v>1</v>
      </c>
      <c r="K813" s="3"/>
    </row>
    <row r="814" spans="1:11" x14ac:dyDescent="0.3">
      <c r="A814" s="4" t="s">
        <v>1221</v>
      </c>
      <c r="B814" s="138" t="s">
        <v>360</v>
      </c>
      <c r="C814" s="2" t="s">
        <v>188</v>
      </c>
      <c r="D814" s="2" t="s">
        <v>195</v>
      </c>
      <c r="E814" s="2" t="s">
        <v>447</v>
      </c>
      <c r="F814" s="139">
        <v>3</v>
      </c>
      <c r="G814" s="140">
        <v>0</v>
      </c>
      <c r="H814" s="140">
        <v>0</v>
      </c>
      <c r="I814" s="140">
        <v>0</v>
      </c>
      <c r="J814" s="140">
        <f t="shared" si="12"/>
        <v>3</v>
      </c>
      <c r="K814" s="3"/>
    </row>
    <row r="815" spans="1:11" x14ac:dyDescent="0.3">
      <c r="A815" s="4" t="s">
        <v>1222</v>
      </c>
      <c r="B815" s="138" t="s">
        <v>363</v>
      </c>
      <c r="C815" s="2" t="s">
        <v>198</v>
      </c>
      <c r="D815" s="2" t="s">
        <v>197</v>
      </c>
      <c r="E815" s="2" t="s">
        <v>409</v>
      </c>
      <c r="F815" s="139">
        <v>15</v>
      </c>
      <c r="G815" s="140">
        <v>0</v>
      </c>
      <c r="H815" s="140">
        <v>0</v>
      </c>
      <c r="I815" s="140">
        <v>0</v>
      </c>
      <c r="J815" s="140">
        <f t="shared" si="12"/>
        <v>15</v>
      </c>
      <c r="K815" s="3"/>
    </row>
    <row r="816" spans="1:11" x14ac:dyDescent="0.3">
      <c r="A816" s="4" t="s">
        <v>1223</v>
      </c>
      <c r="B816" s="138" t="s">
        <v>363</v>
      </c>
      <c r="C816" s="2" t="s">
        <v>206</v>
      </c>
      <c r="D816" s="2" t="s">
        <v>197</v>
      </c>
      <c r="E816" s="2" t="s">
        <v>637</v>
      </c>
      <c r="F816" s="139">
        <v>3</v>
      </c>
      <c r="G816" s="140">
        <v>0</v>
      </c>
      <c r="H816" s="140">
        <v>0</v>
      </c>
      <c r="I816" s="140">
        <v>0</v>
      </c>
      <c r="J816" s="140">
        <f t="shared" si="12"/>
        <v>3</v>
      </c>
      <c r="K816" s="3"/>
    </row>
    <row r="817" spans="1:11" x14ac:dyDescent="0.3">
      <c r="A817" s="4" t="s">
        <v>1224</v>
      </c>
      <c r="B817" s="138" t="s">
        <v>360</v>
      </c>
      <c r="C817" s="2" t="s">
        <v>202</v>
      </c>
      <c r="D817" s="2" t="s">
        <v>199</v>
      </c>
      <c r="E817" s="2" t="s">
        <v>459</v>
      </c>
      <c r="F817" s="139">
        <v>2</v>
      </c>
      <c r="G817" s="140">
        <v>0</v>
      </c>
      <c r="H817" s="140">
        <v>0</v>
      </c>
      <c r="I817" s="140">
        <v>0</v>
      </c>
      <c r="J817" s="140">
        <f t="shared" si="12"/>
        <v>2</v>
      </c>
      <c r="K817" s="3"/>
    </row>
    <row r="818" spans="1:11" x14ac:dyDescent="0.3">
      <c r="A818" s="4" t="s">
        <v>1225</v>
      </c>
      <c r="B818" s="138" t="s">
        <v>363</v>
      </c>
      <c r="C818" s="2" t="s">
        <v>198</v>
      </c>
      <c r="D818" s="2" t="s">
        <v>200</v>
      </c>
      <c r="E818" s="2" t="s">
        <v>450</v>
      </c>
      <c r="F818" s="139">
        <v>7</v>
      </c>
      <c r="G818" s="140">
        <v>0</v>
      </c>
      <c r="H818" s="140">
        <v>0</v>
      </c>
      <c r="I818" s="140">
        <v>0</v>
      </c>
      <c r="J818" s="140">
        <f t="shared" si="12"/>
        <v>7</v>
      </c>
      <c r="K818" s="3"/>
    </row>
    <row r="819" spans="1:11" x14ac:dyDescent="0.3">
      <c r="A819" s="4" t="s">
        <v>1226</v>
      </c>
      <c r="B819" s="138" t="s">
        <v>363</v>
      </c>
      <c r="C819" s="2" t="s">
        <v>208</v>
      </c>
      <c r="D819" s="2" t="s">
        <v>197</v>
      </c>
      <c r="E819" s="2" t="s">
        <v>439</v>
      </c>
      <c r="F819" s="139">
        <v>3</v>
      </c>
      <c r="G819" s="140">
        <v>8</v>
      </c>
      <c r="H819" s="140">
        <v>3</v>
      </c>
      <c r="I819" s="140">
        <v>0</v>
      </c>
      <c r="J819" s="140">
        <f t="shared" si="12"/>
        <v>14</v>
      </c>
      <c r="K819" s="3"/>
    </row>
    <row r="820" spans="1:11" x14ac:dyDescent="0.3">
      <c r="A820" s="4" t="s">
        <v>1227</v>
      </c>
      <c r="B820" s="138" t="s">
        <v>360</v>
      </c>
      <c r="C820" s="2" t="s">
        <v>202</v>
      </c>
      <c r="D820" s="2" t="s">
        <v>200</v>
      </c>
      <c r="E820" s="2" t="s">
        <v>707</v>
      </c>
      <c r="F820" s="139">
        <v>2</v>
      </c>
      <c r="G820" s="140">
        <v>8</v>
      </c>
      <c r="H820" s="140">
        <v>0</v>
      </c>
      <c r="I820" s="140">
        <v>0</v>
      </c>
      <c r="J820" s="140">
        <f t="shared" si="12"/>
        <v>10</v>
      </c>
      <c r="K820" s="3"/>
    </row>
    <row r="821" spans="1:11" x14ac:dyDescent="0.3">
      <c r="A821" s="4" t="s">
        <v>1228</v>
      </c>
      <c r="B821" s="138" t="s">
        <v>360</v>
      </c>
      <c r="C821" s="2" t="s">
        <v>188</v>
      </c>
      <c r="D821" s="2" t="s">
        <v>195</v>
      </c>
      <c r="E821" s="2" t="s">
        <v>447</v>
      </c>
      <c r="F821" s="139">
        <v>3</v>
      </c>
      <c r="G821" s="140">
        <v>0</v>
      </c>
      <c r="H821" s="140">
        <v>0</v>
      </c>
      <c r="I821" s="140">
        <v>0</v>
      </c>
      <c r="J821" s="140">
        <f t="shared" si="12"/>
        <v>3</v>
      </c>
      <c r="K821" s="3"/>
    </row>
    <row r="822" spans="1:11" x14ac:dyDescent="0.3">
      <c r="A822" s="4" t="s">
        <v>1229</v>
      </c>
      <c r="B822" s="138" t="s">
        <v>360</v>
      </c>
      <c r="C822" s="2" t="s">
        <v>202</v>
      </c>
      <c r="D822" s="2" t="s">
        <v>200</v>
      </c>
      <c r="E822" s="2" t="s">
        <v>707</v>
      </c>
      <c r="F822" s="139">
        <v>0</v>
      </c>
      <c r="G822" s="140">
        <v>0</v>
      </c>
      <c r="H822" s="140">
        <v>0</v>
      </c>
      <c r="I822" s="140">
        <v>0</v>
      </c>
      <c r="J822" s="140">
        <f t="shared" si="12"/>
        <v>0</v>
      </c>
      <c r="K822" s="3"/>
    </row>
    <row r="823" spans="1:11" x14ac:dyDescent="0.3">
      <c r="A823" s="4" t="s">
        <v>289</v>
      </c>
      <c r="B823" s="138" t="s">
        <v>360</v>
      </c>
      <c r="C823" s="2" t="s">
        <v>209</v>
      </c>
      <c r="D823" s="2" t="s">
        <v>207</v>
      </c>
      <c r="E823" s="2" t="s">
        <v>374</v>
      </c>
      <c r="F823" s="139">
        <v>2</v>
      </c>
      <c r="G823" s="140">
        <v>0</v>
      </c>
      <c r="H823" s="140">
        <v>0</v>
      </c>
      <c r="I823" s="140">
        <v>0</v>
      </c>
      <c r="J823" s="140">
        <f t="shared" si="12"/>
        <v>2</v>
      </c>
      <c r="K823" s="3"/>
    </row>
    <row r="824" spans="1:11" x14ac:dyDescent="0.3">
      <c r="A824" s="4" t="s">
        <v>1230</v>
      </c>
      <c r="B824" s="138" t="s">
        <v>360</v>
      </c>
      <c r="C824" s="2" t="s">
        <v>202</v>
      </c>
      <c r="D824" s="2" t="s">
        <v>199</v>
      </c>
      <c r="E824" s="2" t="s">
        <v>393</v>
      </c>
      <c r="F824" s="139">
        <v>10</v>
      </c>
      <c r="G824" s="140">
        <v>0</v>
      </c>
      <c r="H824" s="140">
        <v>0</v>
      </c>
      <c r="I824" s="140">
        <v>0</v>
      </c>
      <c r="J824" s="140">
        <f t="shared" si="12"/>
        <v>10</v>
      </c>
      <c r="K824" s="3"/>
    </row>
    <row r="825" spans="1:11" x14ac:dyDescent="0.3">
      <c r="A825" s="4" t="s">
        <v>1231</v>
      </c>
      <c r="B825" s="138" t="s">
        <v>363</v>
      </c>
      <c r="C825" s="2" t="s">
        <v>198</v>
      </c>
      <c r="D825" s="2" t="s">
        <v>197</v>
      </c>
      <c r="E825" s="2" t="s">
        <v>409</v>
      </c>
      <c r="F825" s="139">
        <v>1</v>
      </c>
      <c r="G825" s="140">
        <v>0</v>
      </c>
      <c r="H825" s="140">
        <v>0</v>
      </c>
      <c r="I825" s="140">
        <v>0</v>
      </c>
      <c r="J825" s="140">
        <f t="shared" si="12"/>
        <v>1</v>
      </c>
      <c r="K825" s="3"/>
    </row>
    <row r="826" spans="1:11" x14ac:dyDescent="0.3">
      <c r="A826" s="4" t="s">
        <v>1232</v>
      </c>
      <c r="B826" s="138" t="s">
        <v>360</v>
      </c>
      <c r="C826" s="2" t="s">
        <v>202</v>
      </c>
      <c r="D826" s="2" t="s">
        <v>204</v>
      </c>
      <c r="E826" s="2" t="s">
        <v>471</v>
      </c>
      <c r="F826" s="139">
        <v>5</v>
      </c>
      <c r="G826" s="140">
        <v>0</v>
      </c>
      <c r="H826" s="140">
        <v>0</v>
      </c>
      <c r="I826" s="140">
        <v>0</v>
      </c>
      <c r="J826" s="140">
        <f t="shared" si="12"/>
        <v>5</v>
      </c>
      <c r="K826" s="3"/>
    </row>
    <row r="827" spans="1:11" x14ac:dyDescent="0.3">
      <c r="A827" s="4" t="s">
        <v>1233</v>
      </c>
      <c r="B827" s="138" t="s">
        <v>360</v>
      </c>
      <c r="C827" s="2" t="s">
        <v>188</v>
      </c>
      <c r="D827" s="2" t="s">
        <v>189</v>
      </c>
      <c r="E827" s="2" t="s">
        <v>376</v>
      </c>
      <c r="F827" s="139">
        <v>2</v>
      </c>
      <c r="G827" s="140">
        <v>0</v>
      </c>
      <c r="H827" s="140">
        <v>0</v>
      </c>
      <c r="I827" s="140">
        <v>0</v>
      </c>
      <c r="J827" s="140">
        <f t="shared" si="12"/>
        <v>2</v>
      </c>
      <c r="K827" s="3"/>
    </row>
    <row r="828" spans="1:11" x14ac:dyDescent="0.3">
      <c r="A828" s="4" t="s">
        <v>1234</v>
      </c>
      <c r="B828" s="138" t="s">
        <v>363</v>
      </c>
      <c r="C828" s="2" t="s">
        <v>198</v>
      </c>
      <c r="D828" s="2" t="s">
        <v>200</v>
      </c>
      <c r="E828" s="2" t="s">
        <v>450</v>
      </c>
      <c r="F828" s="139">
        <v>6</v>
      </c>
      <c r="G828" s="140">
        <v>2</v>
      </c>
      <c r="H828" s="140">
        <v>0</v>
      </c>
      <c r="I828" s="140">
        <v>0</v>
      </c>
      <c r="J828" s="140">
        <f t="shared" si="12"/>
        <v>8</v>
      </c>
      <c r="K828" s="3"/>
    </row>
    <row r="829" spans="1:11" x14ac:dyDescent="0.3">
      <c r="A829" s="4" t="s">
        <v>1235</v>
      </c>
      <c r="B829" s="138" t="s">
        <v>363</v>
      </c>
      <c r="C829" s="2" t="s">
        <v>206</v>
      </c>
      <c r="D829" s="2" t="s">
        <v>189</v>
      </c>
      <c r="E829" s="2" t="s">
        <v>397</v>
      </c>
      <c r="F829" s="139">
        <v>17</v>
      </c>
      <c r="G829" s="140">
        <v>0</v>
      </c>
      <c r="H829" s="140">
        <v>0</v>
      </c>
      <c r="I829" s="140">
        <v>0</v>
      </c>
      <c r="J829" s="140">
        <f t="shared" si="12"/>
        <v>17</v>
      </c>
      <c r="K829" s="3"/>
    </row>
    <row r="830" spans="1:11" x14ac:dyDescent="0.3">
      <c r="A830" s="4" t="s">
        <v>1236</v>
      </c>
      <c r="B830" s="138" t="s">
        <v>360</v>
      </c>
      <c r="C830" s="2" t="s">
        <v>202</v>
      </c>
      <c r="D830" s="2" t="s">
        <v>204</v>
      </c>
      <c r="E830" s="2" t="s">
        <v>462</v>
      </c>
      <c r="F830" s="139">
        <v>17</v>
      </c>
      <c r="G830" s="140">
        <v>0</v>
      </c>
      <c r="H830" s="140">
        <v>0</v>
      </c>
      <c r="I830" s="140">
        <v>0</v>
      </c>
      <c r="J830" s="140">
        <f t="shared" si="12"/>
        <v>17</v>
      </c>
      <c r="K830" s="3"/>
    </row>
    <row r="831" spans="1:11" x14ac:dyDescent="0.3">
      <c r="A831" s="4" t="s">
        <v>1237</v>
      </c>
      <c r="B831" s="138" t="s">
        <v>360</v>
      </c>
      <c r="C831" s="2" t="s">
        <v>188</v>
      </c>
      <c r="D831" s="2" t="s">
        <v>189</v>
      </c>
      <c r="E831" s="2" t="s">
        <v>421</v>
      </c>
      <c r="F831" s="139">
        <v>2</v>
      </c>
      <c r="G831" s="140">
        <v>0</v>
      </c>
      <c r="H831" s="140">
        <v>0</v>
      </c>
      <c r="I831" s="140">
        <v>0</v>
      </c>
      <c r="J831" s="140">
        <f t="shared" si="12"/>
        <v>2</v>
      </c>
      <c r="K831" s="3"/>
    </row>
    <row r="832" spans="1:11" x14ac:dyDescent="0.3">
      <c r="A832" s="4" t="s">
        <v>1238</v>
      </c>
      <c r="B832" s="138" t="s">
        <v>360</v>
      </c>
      <c r="C832" s="2" t="s">
        <v>202</v>
      </c>
      <c r="D832" s="2" t="s">
        <v>199</v>
      </c>
      <c r="E832" s="2" t="s">
        <v>378</v>
      </c>
      <c r="F832" s="139">
        <v>10</v>
      </c>
      <c r="G832" s="140">
        <v>0</v>
      </c>
      <c r="H832" s="140">
        <v>0</v>
      </c>
      <c r="I832" s="140">
        <v>0</v>
      </c>
      <c r="J832" s="140">
        <f t="shared" si="12"/>
        <v>10</v>
      </c>
      <c r="K832" s="3"/>
    </row>
    <row r="833" spans="1:11" x14ac:dyDescent="0.3">
      <c r="A833" s="4" t="s">
        <v>1239</v>
      </c>
      <c r="B833" s="138" t="s">
        <v>360</v>
      </c>
      <c r="C833" s="2" t="s">
        <v>202</v>
      </c>
      <c r="D833" s="2" t="s">
        <v>199</v>
      </c>
      <c r="E833" s="2" t="s">
        <v>393</v>
      </c>
      <c r="F833" s="139">
        <v>5</v>
      </c>
      <c r="G833" s="140">
        <v>0</v>
      </c>
      <c r="H833" s="140">
        <v>0</v>
      </c>
      <c r="I833" s="140">
        <v>0</v>
      </c>
      <c r="J833" s="140">
        <f t="shared" si="12"/>
        <v>5</v>
      </c>
      <c r="K833" s="3"/>
    </row>
    <row r="834" spans="1:11" x14ac:dyDescent="0.3">
      <c r="A834" s="4" t="s">
        <v>1240</v>
      </c>
      <c r="B834" s="138" t="s">
        <v>360</v>
      </c>
      <c r="C834" s="2" t="s">
        <v>209</v>
      </c>
      <c r="D834" s="2" t="s">
        <v>197</v>
      </c>
      <c r="E834" s="2" t="s">
        <v>425</v>
      </c>
      <c r="F834" s="139">
        <v>0</v>
      </c>
      <c r="G834" s="140">
        <v>0</v>
      </c>
      <c r="H834" s="140">
        <v>0</v>
      </c>
      <c r="I834" s="140">
        <v>0</v>
      </c>
      <c r="J834" s="140">
        <f t="shared" si="12"/>
        <v>0</v>
      </c>
      <c r="K834" s="3"/>
    </row>
    <row r="835" spans="1:11" x14ac:dyDescent="0.3">
      <c r="A835" s="4" t="s">
        <v>1241</v>
      </c>
      <c r="B835" s="138" t="s">
        <v>363</v>
      </c>
      <c r="C835" s="2" t="s">
        <v>198</v>
      </c>
      <c r="D835" s="2" t="s">
        <v>200</v>
      </c>
      <c r="E835" s="2" t="s">
        <v>372</v>
      </c>
      <c r="F835" s="139">
        <v>11</v>
      </c>
      <c r="G835" s="140">
        <v>0</v>
      </c>
      <c r="H835" s="140">
        <v>0</v>
      </c>
      <c r="I835" s="140">
        <v>6</v>
      </c>
      <c r="J835" s="140">
        <f t="shared" si="12"/>
        <v>17</v>
      </c>
      <c r="K835" s="3"/>
    </row>
    <row r="836" spans="1:11" x14ac:dyDescent="0.3">
      <c r="A836" s="4" t="s">
        <v>1242</v>
      </c>
      <c r="B836" s="138" t="s">
        <v>363</v>
      </c>
      <c r="C836" s="2" t="s">
        <v>198</v>
      </c>
      <c r="D836" s="2" t="s">
        <v>200</v>
      </c>
      <c r="E836" s="2" t="s">
        <v>450</v>
      </c>
      <c r="F836" s="139">
        <v>0</v>
      </c>
      <c r="G836" s="140">
        <v>0</v>
      </c>
      <c r="H836" s="140">
        <v>0</v>
      </c>
      <c r="I836" s="140">
        <v>0</v>
      </c>
      <c r="J836" s="140">
        <f t="shared" si="12"/>
        <v>0</v>
      </c>
      <c r="K836" s="3"/>
    </row>
    <row r="837" spans="1:11" x14ac:dyDescent="0.3">
      <c r="A837" s="4" t="s">
        <v>1243</v>
      </c>
      <c r="B837" s="138" t="s">
        <v>360</v>
      </c>
      <c r="C837" s="2" t="s">
        <v>188</v>
      </c>
      <c r="D837" s="2" t="s">
        <v>189</v>
      </c>
      <c r="E837" s="2" t="s">
        <v>376</v>
      </c>
      <c r="F837" s="139">
        <v>0</v>
      </c>
      <c r="G837" s="140">
        <v>0</v>
      </c>
      <c r="H837" s="140">
        <v>0</v>
      </c>
      <c r="I837" s="140">
        <v>0</v>
      </c>
      <c r="J837" s="140">
        <f t="shared" ref="J837:J900" si="13">SUM(F837:I837)</f>
        <v>0</v>
      </c>
      <c r="K837" s="3"/>
    </row>
    <row r="838" spans="1:11" x14ac:dyDescent="0.3">
      <c r="A838" s="4" t="s">
        <v>1244</v>
      </c>
      <c r="B838" s="138" t="s">
        <v>360</v>
      </c>
      <c r="C838" s="2" t="s">
        <v>202</v>
      </c>
      <c r="D838" s="2" t="s">
        <v>204</v>
      </c>
      <c r="E838" s="2" t="s">
        <v>370</v>
      </c>
      <c r="F838" s="139">
        <v>9</v>
      </c>
      <c r="G838" s="140">
        <v>0</v>
      </c>
      <c r="H838" s="140">
        <v>0</v>
      </c>
      <c r="I838" s="140">
        <v>0</v>
      </c>
      <c r="J838" s="140">
        <f t="shared" si="13"/>
        <v>9</v>
      </c>
      <c r="K838" s="3"/>
    </row>
    <row r="839" spans="1:11" x14ac:dyDescent="0.3">
      <c r="A839" s="4" t="s">
        <v>1245</v>
      </c>
      <c r="B839" s="138" t="s">
        <v>363</v>
      </c>
      <c r="C839" s="2" t="s">
        <v>206</v>
      </c>
      <c r="D839" s="2" t="s">
        <v>207</v>
      </c>
      <c r="E839" s="2" t="s">
        <v>443</v>
      </c>
      <c r="F839" s="139">
        <v>2</v>
      </c>
      <c r="G839" s="140">
        <v>0</v>
      </c>
      <c r="H839" s="140">
        <v>0</v>
      </c>
      <c r="I839" s="140">
        <v>0</v>
      </c>
      <c r="J839" s="140">
        <f t="shared" si="13"/>
        <v>2</v>
      </c>
      <c r="K839" s="3"/>
    </row>
    <row r="840" spans="1:11" x14ac:dyDescent="0.3">
      <c r="A840" s="4" t="s">
        <v>1246</v>
      </c>
      <c r="B840" s="138" t="s">
        <v>360</v>
      </c>
      <c r="C840" s="2" t="s">
        <v>188</v>
      </c>
      <c r="D840" s="2" t="s">
        <v>189</v>
      </c>
      <c r="E840" s="2" t="s">
        <v>387</v>
      </c>
      <c r="F840" s="139">
        <v>1</v>
      </c>
      <c r="G840" s="140">
        <v>0</v>
      </c>
      <c r="H840" s="140">
        <v>0</v>
      </c>
      <c r="I840" s="140">
        <v>0</v>
      </c>
      <c r="J840" s="140">
        <f t="shared" si="13"/>
        <v>1</v>
      </c>
      <c r="K840" s="3"/>
    </row>
    <row r="841" spans="1:11" x14ac:dyDescent="0.3">
      <c r="A841" s="4" t="s">
        <v>1247</v>
      </c>
      <c r="B841" s="138" t="s">
        <v>360</v>
      </c>
      <c r="C841" s="2" t="s">
        <v>202</v>
      </c>
      <c r="D841" s="2" t="s">
        <v>199</v>
      </c>
      <c r="E841" s="2" t="s">
        <v>384</v>
      </c>
      <c r="F841" s="139">
        <v>4</v>
      </c>
      <c r="G841" s="140">
        <v>0</v>
      </c>
      <c r="H841" s="140">
        <v>0</v>
      </c>
      <c r="I841" s="140">
        <v>0</v>
      </c>
      <c r="J841" s="140">
        <f t="shared" si="13"/>
        <v>4</v>
      </c>
      <c r="K841" s="3"/>
    </row>
    <row r="842" spans="1:11" x14ac:dyDescent="0.3">
      <c r="A842" s="4" t="s">
        <v>1248</v>
      </c>
      <c r="B842" s="138" t="s">
        <v>363</v>
      </c>
      <c r="C842" s="2" t="s">
        <v>198</v>
      </c>
      <c r="D842" s="2" t="s">
        <v>200</v>
      </c>
      <c r="E842" s="2" t="s">
        <v>450</v>
      </c>
      <c r="F842" s="139">
        <v>11</v>
      </c>
      <c r="G842" s="140">
        <v>0</v>
      </c>
      <c r="H842" s="140">
        <v>0</v>
      </c>
      <c r="I842" s="140">
        <v>1</v>
      </c>
      <c r="J842" s="140">
        <f t="shared" si="13"/>
        <v>12</v>
      </c>
      <c r="K842" s="3"/>
    </row>
    <row r="843" spans="1:11" x14ac:dyDescent="0.3">
      <c r="A843" s="4" t="s">
        <v>1249</v>
      </c>
      <c r="B843" s="138" t="s">
        <v>363</v>
      </c>
      <c r="C843" s="2" t="s">
        <v>198</v>
      </c>
      <c r="D843" s="2" t="s">
        <v>197</v>
      </c>
      <c r="E843" s="2" t="s">
        <v>409</v>
      </c>
      <c r="F843" s="139">
        <v>14</v>
      </c>
      <c r="G843" s="140">
        <v>0</v>
      </c>
      <c r="H843" s="140">
        <v>0</v>
      </c>
      <c r="I843" s="140">
        <v>17</v>
      </c>
      <c r="J843" s="140">
        <f t="shared" si="13"/>
        <v>31</v>
      </c>
      <c r="K843" s="3"/>
    </row>
    <row r="844" spans="1:11" x14ac:dyDescent="0.3">
      <c r="A844" s="4" t="s">
        <v>1250</v>
      </c>
      <c r="B844" s="138" t="s">
        <v>360</v>
      </c>
      <c r="C844" s="2" t="s">
        <v>202</v>
      </c>
      <c r="D844" s="2" t="s">
        <v>204</v>
      </c>
      <c r="E844" s="2" t="s">
        <v>471</v>
      </c>
      <c r="F844" s="139">
        <v>1</v>
      </c>
      <c r="G844" s="140">
        <v>0</v>
      </c>
      <c r="H844" s="140">
        <v>0</v>
      </c>
      <c r="I844" s="140">
        <v>0</v>
      </c>
      <c r="J844" s="140">
        <f t="shared" si="13"/>
        <v>1</v>
      </c>
      <c r="K844" s="3"/>
    </row>
    <row r="845" spans="1:11" x14ac:dyDescent="0.3">
      <c r="A845" s="4" t="s">
        <v>1251</v>
      </c>
      <c r="B845" s="138" t="s">
        <v>360</v>
      </c>
      <c r="C845" s="2" t="s">
        <v>188</v>
      </c>
      <c r="D845" s="2" t="s">
        <v>196</v>
      </c>
      <c r="E845" s="2" t="s">
        <v>423</v>
      </c>
      <c r="F845" s="139">
        <v>8</v>
      </c>
      <c r="G845" s="140">
        <v>0</v>
      </c>
      <c r="H845" s="140">
        <v>0</v>
      </c>
      <c r="I845" s="140">
        <v>0</v>
      </c>
      <c r="J845" s="140">
        <f t="shared" si="13"/>
        <v>8</v>
      </c>
      <c r="K845" s="3"/>
    </row>
    <row r="846" spans="1:11" x14ac:dyDescent="0.3">
      <c r="A846" s="4" t="s">
        <v>1252</v>
      </c>
      <c r="B846" s="138" t="s">
        <v>360</v>
      </c>
      <c r="C846" s="2" t="s">
        <v>202</v>
      </c>
      <c r="D846" s="2" t="s">
        <v>199</v>
      </c>
      <c r="E846" s="2" t="s">
        <v>473</v>
      </c>
      <c r="F846" s="139">
        <v>0</v>
      </c>
      <c r="G846" s="140">
        <v>12</v>
      </c>
      <c r="H846" s="140">
        <v>0</v>
      </c>
      <c r="I846" s="140">
        <v>0</v>
      </c>
      <c r="J846" s="140">
        <f t="shared" si="13"/>
        <v>12</v>
      </c>
      <c r="K846" s="3"/>
    </row>
    <row r="847" spans="1:11" x14ac:dyDescent="0.3">
      <c r="A847" s="4" t="s">
        <v>1253</v>
      </c>
      <c r="B847" s="138" t="s">
        <v>360</v>
      </c>
      <c r="C847" s="2" t="s">
        <v>202</v>
      </c>
      <c r="D847" s="2" t="s">
        <v>199</v>
      </c>
      <c r="E847" s="2" t="s">
        <v>415</v>
      </c>
      <c r="F847" s="139">
        <v>5</v>
      </c>
      <c r="G847" s="140">
        <v>0</v>
      </c>
      <c r="H847" s="140">
        <v>0</v>
      </c>
      <c r="I847" s="140">
        <v>0</v>
      </c>
      <c r="J847" s="140">
        <f t="shared" si="13"/>
        <v>5</v>
      </c>
      <c r="K847" s="3"/>
    </row>
    <row r="848" spans="1:11" x14ac:dyDescent="0.3">
      <c r="A848" s="4" t="s">
        <v>1254</v>
      </c>
      <c r="B848" s="138" t="s">
        <v>363</v>
      </c>
      <c r="C848" s="2" t="s">
        <v>198</v>
      </c>
      <c r="D848" s="2" t="s">
        <v>199</v>
      </c>
      <c r="E848" s="2" t="s">
        <v>380</v>
      </c>
      <c r="F848" s="139">
        <v>4</v>
      </c>
      <c r="G848" s="140">
        <v>0</v>
      </c>
      <c r="H848" s="140">
        <v>0</v>
      </c>
      <c r="I848" s="140">
        <v>0</v>
      </c>
      <c r="J848" s="140">
        <f t="shared" si="13"/>
        <v>4</v>
      </c>
      <c r="K848" s="3"/>
    </row>
    <row r="849" spans="1:11" x14ac:dyDescent="0.3">
      <c r="A849" s="4" t="s">
        <v>1255</v>
      </c>
      <c r="B849" s="138" t="s">
        <v>363</v>
      </c>
      <c r="C849" s="2" t="s">
        <v>198</v>
      </c>
      <c r="D849" s="2" t="s">
        <v>200</v>
      </c>
      <c r="E849" s="2" t="s">
        <v>372</v>
      </c>
      <c r="F849" s="139">
        <v>6</v>
      </c>
      <c r="G849" s="140">
        <v>0</v>
      </c>
      <c r="H849" s="140">
        <v>0</v>
      </c>
      <c r="I849" s="140">
        <v>0</v>
      </c>
      <c r="J849" s="140">
        <f t="shared" si="13"/>
        <v>6</v>
      </c>
      <c r="K849" s="3"/>
    </row>
    <row r="850" spans="1:11" x14ac:dyDescent="0.3">
      <c r="A850" s="4" t="s">
        <v>1256</v>
      </c>
      <c r="B850" s="138" t="s">
        <v>360</v>
      </c>
      <c r="C850" s="2" t="s">
        <v>188</v>
      </c>
      <c r="D850" s="2" t="s">
        <v>197</v>
      </c>
      <c r="E850" s="2" t="s">
        <v>862</v>
      </c>
      <c r="F850" s="139">
        <v>3</v>
      </c>
      <c r="G850" s="140">
        <v>3</v>
      </c>
      <c r="H850" s="140">
        <v>0</v>
      </c>
      <c r="I850" s="140">
        <v>0</v>
      </c>
      <c r="J850" s="140">
        <f t="shared" si="13"/>
        <v>6</v>
      </c>
      <c r="K850" s="3"/>
    </row>
    <row r="851" spans="1:11" x14ac:dyDescent="0.3">
      <c r="A851" s="4" t="s">
        <v>1257</v>
      </c>
      <c r="B851" s="138" t="s">
        <v>360</v>
      </c>
      <c r="C851" s="2" t="s">
        <v>202</v>
      </c>
      <c r="D851" s="2" t="s">
        <v>199</v>
      </c>
      <c r="E851" s="2" t="s">
        <v>473</v>
      </c>
      <c r="F851" s="139">
        <v>1</v>
      </c>
      <c r="G851" s="140">
        <v>0</v>
      </c>
      <c r="H851" s="140">
        <v>0</v>
      </c>
      <c r="I851" s="140">
        <v>0</v>
      </c>
      <c r="J851" s="140">
        <f t="shared" si="13"/>
        <v>1</v>
      </c>
      <c r="K851" s="3"/>
    </row>
    <row r="852" spans="1:11" x14ac:dyDescent="0.3">
      <c r="A852" s="4" t="s">
        <v>1258</v>
      </c>
      <c r="B852" s="138" t="s">
        <v>360</v>
      </c>
      <c r="C852" s="2" t="s">
        <v>202</v>
      </c>
      <c r="D852" s="2" t="s">
        <v>204</v>
      </c>
      <c r="E852" s="2" t="s">
        <v>462</v>
      </c>
      <c r="F852" s="139">
        <v>13</v>
      </c>
      <c r="G852" s="140">
        <v>0</v>
      </c>
      <c r="H852" s="140">
        <v>0</v>
      </c>
      <c r="I852" s="140">
        <v>4</v>
      </c>
      <c r="J852" s="140">
        <f t="shared" si="13"/>
        <v>17</v>
      </c>
      <c r="K852" s="3"/>
    </row>
    <row r="853" spans="1:11" x14ac:dyDescent="0.3">
      <c r="A853" s="4" t="s">
        <v>1259</v>
      </c>
      <c r="B853" s="138" t="s">
        <v>360</v>
      </c>
      <c r="C853" s="2" t="s">
        <v>202</v>
      </c>
      <c r="D853" s="2" t="s">
        <v>204</v>
      </c>
      <c r="E853" s="2" t="s">
        <v>412</v>
      </c>
      <c r="F853" s="139">
        <v>1</v>
      </c>
      <c r="G853" s="140">
        <v>3</v>
      </c>
      <c r="H853" s="140">
        <v>0</v>
      </c>
      <c r="I853" s="140">
        <v>0</v>
      </c>
      <c r="J853" s="140">
        <f t="shared" si="13"/>
        <v>4</v>
      </c>
      <c r="K853" s="3"/>
    </row>
    <row r="854" spans="1:11" x14ac:dyDescent="0.3">
      <c r="A854" s="4" t="s">
        <v>1260</v>
      </c>
      <c r="B854" s="138" t="s">
        <v>360</v>
      </c>
      <c r="C854" s="2" t="s">
        <v>202</v>
      </c>
      <c r="D854" s="2" t="s">
        <v>194</v>
      </c>
      <c r="E854" s="2" t="s">
        <v>488</v>
      </c>
      <c r="F854" s="139">
        <v>13</v>
      </c>
      <c r="G854" s="140">
        <v>12</v>
      </c>
      <c r="H854" s="140">
        <v>0</v>
      </c>
      <c r="I854" s="140">
        <v>4</v>
      </c>
      <c r="J854" s="140">
        <f t="shared" si="13"/>
        <v>29</v>
      </c>
      <c r="K854" s="3"/>
    </row>
    <row r="855" spans="1:11" x14ac:dyDescent="0.3">
      <c r="A855" s="4" t="s">
        <v>1261</v>
      </c>
      <c r="B855" s="138" t="s">
        <v>363</v>
      </c>
      <c r="C855" s="2" t="s">
        <v>208</v>
      </c>
      <c r="D855" s="2" t="s">
        <v>197</v>
      </c>
      <c r="E855" s="2" t="s">
        <v>439</v>
      </c>
      <c r="F855" s="139">
        <v>0</v>
      </c>
      <c r="G855" s="140">
        <v>0</v>
      </c>
      <c r="H855" s="140">
        <v>0</v>
      </c>
      <c r="I855" s="140">
        <v>0</v>
      </c>
      <c r="J855" s="140">
        <f t="shared" si="13"/>
        <v>0</v>
      </c>
      <c r="K855" s="3"/>
    </row>
    <row r="856" spans="1:11" x14ac:dyDescent="0.3">
      <c r="A856" s="4" t="s">
        <v>1262</v>
      </c>
      <c r="B856" s="138" t="s">
        <v>363</v>
      </c>
      <c r="C856" s="2" t="s">
        <v>206</v>
      </c>
      <c r="D856" s="2" t="s">
        <v>197</v>
      </c>
      <c r="E856" s="2" t="s">
        <v>637</v>
      </c>
      <c r="F856" s="139">
        <v>3</v>
      </c>
      <c r="G856" s="140">
        <v>0</v>
      </c>
      <c r="H856" s="140">
        <v>0</v>
      </c>
      <c r="I856" s="140">
        <v>0</v>
      </c>
      <c r="J856" s="140">
        <f t="shared" si="13"/>
        <v>3</v>
      </c>
      <c r="K856" s="3"/>
    </row>
    <row r="857" spans="1:11" x14ac:dyDescent="0.3">
      <c r="A857" s="4" t="s">
        <v>1263</v>
      </c>
      <c r="B857" s="138" t="s">
        <v>360</v>
      </c>
      <c r="C857" s="2" t="s">
        <v>202</v>
      </c>
      <c r="D857" s="2" t="s">
        <v>200</v>
      </c>
      <c r="E857" s="2" t="s">
        <v>417</v>
      </c>
      <c r="F857" s="139">
        <v>2</v>
      </c>
      <c r="G857" s="140">
        <v>0</v>
      </c>
      <c r="H857" s="140">
        <v>0</v>
      </c>
      <c r="I857" s="140">
        <v>0</v>
      </c>
      <c r="J857" s="140">
        <f t="shared" si="13"/>
        <v>2</v>
      </c>
      <c r="K857" s="3"/>
    </row>
    <row r="858" spans="1:11" x14ac:dyDescent="0.3">
      <c r="A858" s="4" t="s">
        <v>1264</v>
      </c>
      <c r="B858" s="138" t="s">
        <v>360</v>
      </c>
      <c r="C858" s="2" t="s">
        <v>202</v>
      </c>
      <c r="D858" s="2" t="s">
        <v>204</v>
      </c>
      <c r="E858" s="2" t="s">
        <v>391</v>
      </c>
      <c r="F858" s="139">
        <v>1</v>
      </c>
      <c r="G858" s="140">
        <v>0</v>
      </c>
      <c r="H858" s="140">
        <v>0</v>
      </c>
      <c r="I858" s="140">
        <v>0</v>
      </c>
      <c r="J858" s="140">
        <f t="shared" si="13"/>
        <v>1</v>
      </c>
      <c r="K858" s="3"/>
    </row>
    <row r="859" spans="1:11" x14ac:dyDescent="0.3">
      <c r="A859" s="4" t="s">
        <v>1265</v>
      </c>
      <c r="B859" s="138" t="s">
        <v>360</v>
      </c>
      <c r="C859" s="2" t="s">
        <v>202</v>
      </c>
      <c r="D859" s="2" t="s">
        <v>199</v>
      </c>
      <c r="E859" s="2" t="s">
        <v>415</v>
      </c>
      <c r="F859" s="139">
        <v>17</v>
      </c>
      <c r="G859" s="140">
        <v>0</v>
      </c>
      <c r="H859" s="140">
        <v>0</v>
      </c>
      <c r="I859" s="140">
        <v>17</v>
      </c>
      <c r="J859" s="140">
        <f t="shared" si="13"/>
        <v>34</v>
      </c>
      <c r="K859" s="3"/>
    </row>
    <row r="860" spans="1:11" x14ac:dyDescent="0.3">
      <c r="A860" s="4" t="s">
        <v>1266</v>
      </c>
      <c r="B860" s="138" t="s">
        <v>478</v>
      </c>
      <c r="C860" s="127" t="s">
        <v>205</v>
      </c>
      <c r="D860" s="2" t="s">
        <v>196</v>
      </c>
      <c r="E860" s="2" t="s">
        <v>479</v>
      </c>
      <c r="F860" s="139">
        <v>10</v>
      </c>
      <c r="G860" s="140">
        <v>21</v>
      </c>
      <c r="H860" s="140">
        <v>0</v>
      </c>
      <c r="I860" s="140">
        <v>0</v>
      </c>
      <c r="J860" s="140">
        <f t="shared" si="13"/>
        <v>31</v>
      </c>
      <c r="K860" s="3"/>
    </row>
    <row r="861" spans="1:11" x14ac:dyDescent="0.3">
      <c r="A861" s="4" t="s">
        <v>1267</v>
      </c>
      <c r="B861" s="138" t="s">
        <v>360</v>
      </c>
      <c r="C861" s="2" t="s">
        <v>202</v>
      </c>
      <c r="D861" s="2" t="s">
        <v>199</v>
      </c>
      <c r="E861" s="2" t="s">
        <v>378</v>
      </c>
      <c r="F861" s="139">
        <v>6</v>
      </c>
      <c r="G861" s="140">
        <v>0</v>
      </c>
      <c r="H861" s="140">
        <v>0</v>
      </c>
      <c r="I861" s="140">
        <v>0</v>
      </c>
      <c r="J861" s="140">
        <f t="shared" si="13"/>
        <v>6</v>
      </c>
      <c r="K861" s="3"/>
    </row>
    <row r="862" spans="1:11" x14ac:dyDescent="0.3">
      <c r="A862" s="4" t="s">
        <v>1268</v>
      </c>
      <c r="B862" s="138" t="s">
        <v>363</v>
      </c>
      <c r="C862" s="2" t="s">
        <v>198</v>
      </c>
      <c r="D862" s="2" t="s">
        <v>199</v>
      </c>
      <c r="E862" s="2" t="s">
        <v>380</v>
      </c>
      <c r="F862" s="139">
        <v>2</v>
      </c>
      <c r="G862" s="140">
        <v>0</v>
      </c>
      <c r="H862" s="140">
        <v>0</v>
      </c>
      <c r="I862" s="140">
        <v>0</v>
      </c>
      <c r="J862" s="140">
        <f t="shared" si="13"/>
        <v>2</v>
      </c>
      <c r="K862" s="3"/>
    </row>
    <row r="863" spans="1:11" x14ac:dyDescent="0.3">
      <c r="A863" s="4" t="s">
        <v>1269</v>
      </c>
      <c r="B863" s="138" t="s">
        <v>363</v>
      </c>
      <c r="C863" s="2" t="s">
        <v>198</v>
      </c>
      <c r="D863" s="2" t="s">
        <v>200</v>
      </c>
      <c r="E863" s="2" t="s">
        <v>450</v>
      </c>
      <c r="F863" s="139">
        <v>5</v>
      </c>
      <c r="G863" s="140">
        <v>0</v>
      </c>
      <c r="H863" s="140">
        <v>0</v>
      </c>
      <c r="I863" s="140">
        <v>0</v>
      </c>
      <c r="J863" s="140">
        <f t="shared" si="13"/>
        <v>5</v>
      </c>
      <c r="K863" s="3"/>
    </row>
    <row r="864" spans="1:11" x14ac:dyDescent="0.3">
      <c r="A864" s="4" t="s">
        <v>1270</v>
      </c>
      <c r="B864" s="138" t="s">
        <v>360</v>
      </c>
      <c r="C864" s="2" t="s">
        <v>202</v>
      </c>
      <c r="D864" s="2" t="s">
        <v>204</v>
      </c>
      <c r="E864" s="2" t="s">
        <v>366</v>
      </c>
      <c r="F864" s="139">
        <v>9</v>
      </c>
      <c r="G864" s="140">
        <v>0</v>
      </c>
      <c r="H864" s="140">
        <v>0</v>
      </c>
      <c r="I864" s="140">
        <v>0</v>
      </c>
      <c r="J864" s="140">
        <f t="shared" si="13"/>
        <v>9</v>
      </c>
      <c r="K864" s="3"/>
    </row>
    <row r="865" spans="1:11" x14ac:dyDescent="0.3">
      <c r="A865" s="4" t="s">
        <v>1014</v>
      </c>
      <c r="B865" s="138" t="s">
        <v>360</v>
      </c>
      <c r="C865" s="2" t="s">
        <v>202</v>
      </c>
      <c r="D865" s="2" t="s">
        <v>204</v>
      </c>
      <c r="E865" s="2" t="s">
        <v>538</v>
      </c>
      <c r="F865" s="139">
        <v>0</v>
      </c>
      <c r="G865" s="140">
        <v>0</v>
      </c>
      <c r="H865" s="140">
        <v>0</v>
      </c>
      <c r="I865" s="140">
        <v>0</v>
      </c>
      <c r="J865" s="140">
        <f t="shared" si="13"/>
        <v>0</v>
      </c>
      <c r="K865" s="3"/>
    </row>
    <row r="866" spans="1:11" x14ac:dyDescent="0.3">
      <c r="A866" s="4" t="s">
        <v>1271</v>
      </c>
      <c r="B866" s="138" t="s">
        <v>360</v>
      </c>
      <c r="C866" s="2" t="s">
        <v>202</v>
      </c>
      <c r="D866" s="2" t="s">
        <v>204</v>
      </c>
      <c r="E866" s="2" t="s">
        <v>538</v>
      </c>
      <c r="F866" s="139">
        <v>11</v>
      </c>
      <c r="G866" s="140">
        <v>0</v>
      </c>
      <c r="H866" s="140">
        <v>0</v>
      </c>
      <c r="I866" s="140">
        <v>1</v>
      </c>
      <c r="J866" s="140">
        <f t="shared" si="13"/>
        <v>12</v>
      </c>
      <c r="K866" s="3"/>
    </row>
    <row r="867" spans="1:11" x14ac:dyDescent="0.3">
      <c r="A867" s="4" t="s">
        <v>1272</v>
      </c>
      <c r="B867" s="138" t="s">
        <v>360</v>
      </c>
      <c r="C867" s="2" t="s">
        <v>202</v>
      </c>
      <c r="D867" s="2" t="s">
        <v>204</v>
      </c>
      <c r="E867" s="2" t="s">
        <v>370</v>
      </c>
      <c r="F867" s="139">
        <v>15</v>
      </c>
      <c r="G867" s="140">
        <v>0</v>
      </c>
      <c r="H867" s="140">
        <v>0</v>
      </c>
      <c r="I867" s="140">
        <v>0</v>
      </c>
      <c r="J867" s="140">
        <f t="shared" si="13"/>
        <v>15</v>
      </c>
      <c r="K867" s="3"/>
    </row>
    <row r="868" spans="1:11" x14ac:dyDescent="0.3">
      <c r="A868" s="4" t="s">
        <v>1273</v>
      </c>
      <c r="B868" s="138" t="s">
        <v>360</v>
      </c>
      <c r="C868" s="2" t="s">
        <v>202</v>
      </c>
      <c r="D868" s="2" t="s">
        <v>194</v>
      </c>
      <c r="E868" s="2" t="s">
        <v>488</v>
      </c>
      <c r="F868" s="139">
        <v>13</v>
      </c>
      <c r="G868" s="140">
        <v>0</v>
      </c>
      <c r="H868" s="140">
        <v>0</v>
      </c>
      <c r="I868" s="140">
        <v>0</v>
      </c>
      <c r="J868" s="140">
        <f t="shared" si="13"/>
        <v>13</v>
      </c>
      <c r="K868" s="3"/>
    </row>
    <row r="869" spans="1:11" x14ac:dyDescent="0.3">
      <c r="A869" s="4" t="s">
        <v>1274</v>
      </c>
      <c r="B869" s="138" t="s">
        <v>360</v>
      </c>
      <c r="C869" s="2" t="s">
        <v>202</v>
      </c>
      <c r="D869" s="2" t="s">
        <v>200</v>
      </c>
      <c r="E869" s="2" t="s">
        <v>417</v>
      </c>
      <c r="F869" s="139">
        <v>8</v>
      </c>
      <c r="G869" s="140">
        <v>0</v>
      </c>
      <c r="H869" s="140">
        <v>0</v>
      </c>
      <c r="I869" s="140">
        <v>0</v>
      </c>
      <c r="J869" s="140">
        <f t="shared" si="13"/>
        <v>8</v>
      </c>
      <c r="K869" s="3"/>
    </row>
    <row r="870" spans="1:11" x14ac:dyDescent="0.3">
      <c r="A870" s="4" t="s">
        <v>1275</v>
      </c>
      <c r="B870" s="138" t="s">
        <v>363</v>
      </c>
      <c r="C870" s="2" t="s">
        <v>198</v>
      </c>
      <c r="D870" s="2" t="s">
        <v>199</v>
      </c>
      <c r="E870" s="2" t="s">
        <v>432</v>
      </c>
      <c r="F870" s="139">
        <v>12</v>
      </c>
      <c r="G870" s="140">
        <v>0</v>
      </c>
      <c r="H870" s="140">
        <v>0</v>
      </c>
      <c r="I870" s="140">
        <v>1</v>
      </c>
      <c r="J870" s="140">
        <f t="shared" si="13"/>
        <v>13</v>
      </c>
      <c r="K870" s="3"/>
    </row>
    <row r="871" spans="1:11" x14ac:dyDescent="0.3">
      <c r="A871" s="4" t="s">
        <v>1276</v>
      </c>
      <c r="B871" s="138" t="s">
        <v>363</v>
      </c>
      <c r="C871" s="2" t="s">
        <v>198</v>
      </c>
      <c r="D871" s="2" t="s">
        <v>199</v>
      </c>
      <c r="E871" s="2" t="s">
        <v>364</v>
      </c>
      <c r="F871" s="139">
        <v>2</v>
      </c>
      <c r="G871" s="140">
        <v>14</v>
      </c>
      <c r="H871" s="140">
        <v>0</v>
      </c>
      <c r="I871" s="140">
        <v>0</v>
      </c>
      <c r="J871" s="140">
        <f t="shared" si="13"/>
        <v>16</v>
      </c>
      <c r="K871" s="3"/>
    </row>
    <row r="872" spans="1:11" x14ac:dyDescent="0.3">
      <c r="A872" s="4" t="s">
        <v>1277</v>
      </c>
      <c r="B872" s="138" t="s">
        <v>360</v>
      </c>
      <c r="C872" s="2" t="s">
        <v>202</v>
      </c>
      <c r="D872" s="2" t="s">
        <v>200</v>
      </c>
      <c r="E872" s="2" t="s">
        <v>417</v>
      </c>
      <c r="F872" s="139">
        <v>3</v>
      </c>
      <c r="G872" s="140">
        <v>0</v>
      </c>
      <c r="H872" s="140">
        <v>0</v>
      </c>
      <c r="I872" s="140">
        <v>0</v>
      </c>
      <c r="J872" s="140">
        <f t="shared" si="13"/>
        <v>3</v>
      </c>
      <c r="K872" s="3"/>
    </row>
    <row r="873" spans="1:11" x14ac:dyDescent="0.3">
      <c r="A873" s="4" t="s">
        <v>1278</v>
      </c>
      <c r="B873" s="138" t="s">
        <v>360</v>
      </c>
      <c r="C873" s="2" t="s">
        <v>188</v>
      </c>
      <c r="D873" s="2" t="s">
        <v>195</v>
      </c>
      <c r="E873" s="2" t="s">
        <v>447</v>
      </c>
      <c r="F873" s="139">
        <v>1</v>
      </c>
      <c r="G873" s="140">
        <v>0</v>
      </c>
      <c r="H873" s="140">
        <v>0</v>
      </c>
      <c r="I873" s="140">
        <v>0</v>
      </c>
      <c r="J873" s="140">
        <f t="shared" si="13"/>
        <v>1</v>
      </c>
      <c r="K873" s="3"/>
    </row>
    <row r="874" spans="1:11" x14ac:dyDescent="0.3">
      <c r="A874" s="4" t="s">
        <v>1279</v>
      </c>
      <c r="B874" s="138" t="s">
        <v>360</v>
      </c>
      <c r="C874" s="2" t="s">
        <v>188</v>
      </c>
      <c r="D874" s="2" t="s">
        <v>195</v>
      </c>
      <c r="E874" s="2" t="s">
        <v>447</v>
      </c>
      <c r="F874" s="139">
        <v>2</v>
      </c>
      <c r="G874" s="140">
        <v>0</v>
      </c>
      <c r="H874" s="140">
        <v>0</v>
      </c>
      <c r="I874" s="140">
        <v>0</v>
      </c>
      <c r="J874" s="140">
        <f t="shared" si="13"/>
        <v>2</v>
      </c>
      <c r="K874" s="3"/>
    </row>
    <row r="875" spans="1:11" x14ac:dyDescent="0.3">
      <c r="A875" s="4" t="s">
        <v>1280</v>
      </c>
      <c r="B875" s="138" t="s">
        <v>360</v>
      </c>
      <c r="C875" s="2" t="s">
        <v>202</v>
      </c>
      <c r="D875" s="127" t="s">
        <v>203</v>
      </c>
      <c r="E875" s="2" t="s">
        <v>399</v>
      </c>
      <c r="F875" s="139">
        <v>11</v>
      </c>
      <c r="G875" s="140">
        <v>0</v>
      </c>
      <c r="H875" s="140">
        <v>0</v>
      </c>
      <c r="I875" s="140">
        <v>1</v>
      </c>
      <c r="J875" s="140">
        <f t="shared" si="13"/>
        <v>12</v>
      </c>
      <c r="K875" s="3"/>
    </row>
    <row r="876" spans="1:11" x14ac:dyDescent="0.3">
      <c r="A876" s="4" t="s">
        <v>1281</v>
      </c>
      <c r="B876" s="138" t="s">
        <v>363</v>
      </c>
      <c r="C876" s="2" t="s">
        <v>198</v>
      </c>
      <c r="D876" s="2" t="s">
        <v>199</v>
      </c>
      <c r="E876" s="2" t="s">
        <v>402</v>
      </c>
      <c r="F876" s="139">
        <v>17</v>
      </c>
      <c r="G876" s="140">
        <v>0</v>
      </c>
      <c r="H876" s="140">
        <v>0</v>
      </c>
      <c r="I876" s="140">
        <v>0</v>
      </c>
      <c r="J876" s="140">
        <f t="shared" si="13"/>
        <v>17</v>
      </c>
      <c r="K876" s="3"/>
    </row>
    <row r="877" spans="1:11" x14ac:dyDescent="0.3">
      <c r="A877" s="4" t="s">
        <v>1282</v>
      </c>
      <c r="B877" s="138" t="s">
        <v>360</v>
      </c>
      <c r="C877" s="2" t="s">
        <v>188</v>
      </c>
      <c r="D877" s="2" t="s">
        <v>196</v>
      </c>
      <c r="E877" s="2" t="s">
        <v>423</v>
      </c>
      <c r="F877" s="139">
        <v>11</v>
      </c>
      <c r="G877" s="140">
        <v>0</v>
      </c>
      <c r="H877" s="140">
        <v>0</v>
      </c>
      <c r="I877" s="140">
        <v>0</v>
      </c>
      <c r="J877" s="140">
        <f t="shared" si="13"/>
        <v>11</v>
      </c>
      <c r="K877" s="3"/>
    </row>
    <row r="878" spans="1:11" x14ac:dyDescent="0.3">
      <c r="A878" s="4" t="s">
        <v>1283</v>
      </c>
      <c r="B878" s="138" t="s">
        <v>363</v>
      </c>
      <c r="C878" s="2" t="s">
        <v>208</v>
      </c>
      <c r="D878" s="2" t="s">
        <v>195</v>
      </c>
      <c r="E878" s="2" t="s">
        <v>500</v>
      </c>
      <c r="F878" s="139">
        <v>1</v>
      </c>
      <c r="G878" s="140">
        <v>0</v>
      </c>
      <c r="H878" s="140">
        <v>0</v>
      </c>
      <c r="I878" s="140">
        <v>0</v>
      </c>
      <c r="J878" s="140">
        <f t="shared" si="13"/>
        <v>1</v>
      </c>
      <c r="K878" s="3"/>
    </row>
    <row r="879" spans="1:11" x14ac:dyDescent="0.3">
      <c r="A879" s="4" t="s">
        <v>1284</v>
      </c>
      <c r="B879" s="138" t="s">
        <v>360</v>
      </c>
      <c r="C879" s="2" t="s">
        <v>202</v>
      </c>
      <c r="D879" s="2" t="s">
        <v>204</v>
      </c>
      <c r="E879" s="2" t="s">
        <v>412</v>
      </c>
      <c r="F879" s="139">
        <v>16</v>
      </c>
      <c r="G879" s="140">
        <v>0</v>
      </c>
      <c r="H879" s="140">
        <v>0</v>
      </c>
      <c r="I879" s="140">
        <v>14</v>
      </c>
      <c r="J879" s="140">
        <f t="shared" si="13"/>
        <v>30</v>
      </c>
      <c r="K879" s="3"/>
    </row>
    <row r="880" spans="1:11" x14ac:dyDescent="0.3">
      <c r="A880" s="4" t="s">
        <v>1285</v>
      </c>
      <c r="B880" s="138" t="s">
        <v>363</v>
      </c>
      <c r="C880" s="2" t="s">
        <v>198</v>
      </c>
      <c r="D880" s="2" t="s">
        <v>199</v>
      </c>
      <c r="E880" s="2" t="s">
        <v>364</v>
      </c>
      <c r="F880" s="139">
        <v>1</v>
      </c>
      <c r="G880" s="140">
        <v>0</v>
      </c>
      <c r="H880" s="140">
        <v>0</v>
      </c>
      <c r="I880" s="140">
        <v>0</v>
      </c>
      <c r="J880" s="140">
        <f t="shared" si="13"/>
        <v>1</v>
      </c>
      <c r="K880" s="3"/>
    </row>
    <row r="881" spans="1:11" x14ac:dyDescent="0.3">
      <c r="A881" s="4" t="s">
        <v>1286</v>
      </c>
      <c r="B881" s="138" t="s">
        <v>360</v>
      </c>
      <c r="C881" s="2" t="s">
        <v>202</v>
      </c>
      <c r="D881" s="2" t="s">
        <v>204</v>
      </c>
      <c r="E881" s="2" t="s">
        <v>389</v>
      </c>
      <c r="F881" s="139">
        <v>1</v>
      </c>
      <c r="G881" s="140">
        <v>0</v>
      </c>
      <c r="H881" s="140">
        <v>0</v>
      </c>
      <c r="I881" s="140">
        <v>0</v>
      </c>
      <c r="J881" s="140">
        <f t="shared" si="13"/>
        <v>1</v>
      </c>
      <c r="K881" s="3"/>
    </row>
    <row r="882" spans="1:11" x14ac:dyDescent="0.3">
      <c r="A882" s="4" t="s">
        <v>1287</v>
      </c>
      <c r="B882" s="138" t="s">
        <v>360</v>
      </c>
      <c r="C882" s="2" t="s">
        <v>202</v>
      </c>
      <c r="D882" s="2" t="s">
        <v>199</v>
      </c>
      <c r="E882" s="2" t="s">
        <v>454</v>
      </c>
      <c r="F882" s="139">
        <v>12</v>
      </c>
      <c r="G882" s="140">
        <v>6</v>
      </c>
      <c r="H882" s="140">
        <v>0</v>
      </c>
      <c r="I882" s="140">
        <v>0</v>
      </c>
      <c r="J882" s="140">
        <f t="shared" si="13"/>
        <v>18</v>
      </c>
      <c r="K882" s="3"/>
    </row>
    <row r="883" spans="1:11" x14ac:dyDescent="0.3">
      <c r="A883" s="4" t="s">
        <v>1288</v>
      </c>
      <c r="B883" s="138" t="s">
        <v>360</v>
      </c>
      <c r="C883" s="2" t="s">
        <v>188</v>
      </c>
      <c r="D883" s="2" t="s">
        <v>196</v>
      </c>
      <c r="E883" s="2" t="s">
        <v>423</v>
      </c>
      <c r="F883" s="139">
        <v>0</v>
      </c>
      <c r="G883" s="140">
        <v>2</v>
      </c>
      <c r="H883" s="140">
        <v>0</v>
      </c>
      <c r="I883" s="140">
        <v>0</v>
      </c>
      <c r="J883" s="140">
        <f t="shared" si="13"/>
        <v>2</v>
      </c>
      <c r="K883" s="3"/>
    </row>
    <row r="884" spans="1:11" x14ac:dyDescent="0.3">
      <c r="A884" s="4" t="s">
        <v>1289</v>
      </c>
      <c r="B884" s="138" t="s">
        <v>360</v>
      </c>
      <c r="C884" s="2" t="s">
        <v>188</v>
      </c>
      <c r="D884" s="2" t="s">
        <v>195</v>
      </c>
      <c r="E884" s="2" t="s">
        <v>447</v>
      </c>
      <c r="F884" s="139">
        <v>12</v>
      </c>
      <c r="G884" s="140">
        <v>0</v>
      </c>
      <c r="H884" s="140">
        <v>0</v>
      </c>
      <c r="I884" s="140">
        <v>1</v>
      </c>
      <c r="J884" s="140">
        <f t="shared" si="13"/>
        <v>13</v>
      </c>
      <c r="K884" s="3"/>
    </row>
    <row r="885" spans="1:11" x14ac:dyDescent="0.3">
      <c r="A885" s="4" t="s">
        <v>1290</v>
      </c>
      <c r="B885" s="138" t="s">
        <v>360</v>
      </c>
      <c r="C885" s="2" t="s">
        <v>202</v>
      </c>
      <c r="D885" s="2" t="s">
        <v>199</v>
      </c>
      <c r="E885" s="2" t="s">
        <v>459</v>
      </c>
      <c r="F885" s="139">
        <v>1</v>
      </c>
      <c r="G885" s="140">
        <v>0</v>
      </c>
      <c r="H885" s="140">
        <v>0</v>
      </c>
      <c r="I885" s="140">
        <v>0</v>
      </c>
      <c r="J885" s="140">
        <f t="shared" si="13"/>
        <v>1</v>
      </c>
      <c r="K885" s="3"/>
    </row>
    <row r="886" spans="1:11" x14ac:dyDescent="0.3">
      <c r="A886" s="4" t="s">
        <v>1291</v>
      </c>
      <c r="B886" s="138" t="s">
        <v>360</v>
      </c>
      <c r="C886" s="2" t="s">
        <v>202</v>
      </c>
      <c r="D886" s="2" t="s">
        <v>197</v>
      </c>
      <c r="E886" s="2" t="s">
        <v>580</v>
      </c>
      <c r="F886" s="139">
        <v>4</v>
      </c>
      <c r="G886" s="140">
        <v>0</v>
      </c>
      <c r="H886" s="140">
        <v>0</v>
      </c>
      <c r="I886" s="140">
        <v>0</v>
      </c>
      <c r="J886" s="140">
        <f t="shared" si="13"/>
        <v>4</v>
      </c>
      <c r="K886" s="3"/>
    </row>
    <row r="887" spans="1:11" x14ac:dyDescent="0.3">
      <c r="A887" s="4" t="s">
        <v>1292</v>
      </c>
      <c r="B887" s="138" t="s">
        <v>363</v>
      </c>
      <c r="C887" s="2" t="s">
        <v>206</v>
      </c>
      <c r="D887" s="2" t="s">
        <v>189</v>
      </c>
      <c r="E887" s="2" t="s">
        <v>541</v>
      </c>
      <c r="F887" s="139">
        <v>0</v>
      </c>
      <c r="G887" s="140">
        <v>0</v>
      </c>
      <c r="H887" s="140">
        <v>0</v>
      </c>
      <c r="I887" s="140">
        <v>0</v>
      </c>
      <c r="J887" s="140">
        <f t="shared" si="13"/>
        <v>0</v>
      </c>
      <c r="K887" s="3"/>
    </row>
    <row r="888" spans="1:11" x14ac:dyDescent="0.3">
      <c r="A888" s="4" t="s">
        <v>1293</v>
      </c>
      <c r="B888" s="138" t="s">
        <v>363</v>
      </c>
      <c r="C888" s="2" t="s">
        <v>198</v>
      </c>
      <c r="D888" s="2" t="s">
        <v>199</v>
      </c>
      <c r="E888" s="2" t="s">
        <v>364</v>
      </c>
      <c r="F888" s="139">
        <v>2</v>
      </c>
      <c r="G888" s="140">
        <v>0</v>
      </c>
      <c r="H888" s="140">
        <v>0</v>
      </c>
      <c r="I888" s="140">
        <v>0</v>
      </c>
      <c r="J888" s="140">
        <f t="shared" si="13"/>
        <v>2</v>
      </c>
      <c r="K888" s="3"/>
    </row>
    <row r="889" spans="1:11" x14ac:dyDescent="0.3">
      <c r="A889" s="4" t="s">
        <v>1294</v>
      </c>
      <c r="B889" s="138" t="s">
        <v>363</v>
      </c>
      <c r="C889" s="2" t="s">
        <v>198</v>
      </c>
      <c r="D889" s="2" t="s">
        <v>200</v>
      </c>
      <c r="E889" s="2" t="s">
        <v>450</v>
      </c>
      <c r="F889" s="139">
        <v>8</v>
      </c>
      <c r="G889" s="140">
        <v>14</v>
      </c>
      <c r="H889" s="140">
        <v>0</v>
      </c>
      <c r="I889" s="140">
        <v>0</v>
      </c>
      <c r="J889" s="140">
        <f t="shared" si="13"/>
        <v>22</v>
      </c>
      <c r="K889" s="3"/>
    </row>
    <row r="890" spans="1:11" x14ac:dyDescent="0.3">
      <c r="A890" s="4" t="s">
        <v>1141</v>
      </c>
      <c r="B890" s="138" t="s">
        <v>360</v>
      </c>
      <c r="C890" s="2" t="s">
        <v>202</v>
      </c>
      <c r="D890" s="127" t="s">
        <v>203</v>
      </c>
      <c r="E890" s="2" t="s">
        <v>399</v>
      </c>
      <c r="F890" s="139">
        <v>1</v>
      </c>
      <c r="G890" s="140">
        <v>0</v>
      </c>
      <c r="H890" s="140">
        <v>0</v>
      </c>
      <c r="I890" s="140">
        <v>0</v>
      </c>
      <c r="J890" s="140">
        <f t="shared" si="13"/>
        <v>1</v>
      </c>
      <c r="K890" s="3"/>
    </row>
    <row r="891" spans="1:11" x14ac:dyDescent="0.3">
      <c r="A891" s="4" t="s">
        <v>1295</v>
      </c>
      <c r="B891" s="138" t="s">
        <v>360</v>
      </c>
      <c r="C891" s="2" t="s">
        <v>188</v>
      </c>
      <c r="D891" s="2" t="s">
        <v>189</v>
      </c>
      <c r="E891" s="2" t="s">
        <v>421</v>
      </c>
      <c r="F891" s="139">
        <v>3</v>
      </c>
      <c r="G891" s="140">
        <v>0</v>
      </c>
      <c r="H891" s="140">
        <v>0</v>
      </c>
      <c r="I891" s="140">
        <v>0</v>
      </c>
      <c r="J891" s="140">
        <f t="shared" si="13"/>
        <v>3</v>
      </c>
      <c r="K891" s="3"/>
    </row>
    <row r="892" spans="1:11" x14ac:dyDescent="0.3">
      <c r="A892" s="4" t="s">
        <v>1296</v>
      </c>
      <c r="B892" s="138" t="s">
        <v>363</v>
      </c>
      <c r="C892" s="2" t="s">
        <v>206</v>
      </c>
      <c r="D892" s="2" t="s">
        <v>207</v>
      </c>
      <c r="E892" s="2" t="s">
        <v>443</v>
      </c>
      <c r="F892" s="139">
        <v>8</v>
      </c>
      <c r="G892" s="140">
        <v>0</v>
      </c>
      <c r="H892" s="140">
        <v>0</v>
      </c>
      <c r="I892" s="140">
        <v>0</v>
      </c>
      <c r="J892" s="140">
        <f t="shared" si="13"/>
        <v>8</v>
      </c>
      <c r="K892" s="3"/>
    </row>
    <row r="893" spans="1:11" x14ac:dyDescent="0.3">
      <c r="A893" s="4" t="s">
        <v>1297</v>
      </c>
      <c r="B893" s="138" t="s">
        <v>360</v>
      </c>
      <c r="C893" s="2" t="s">
        <v>202</v>
      </c>
      <c r="D893" s="2" t="s">
        <v>204</v>
      </c>
      <c r="E893" s="2" t="s">
        <v>419</v>
      </c>
      <c r="F893" s="139">
        <v>7</v>
      </c>
      <c r="G893" s="140">
        <v>0</v>
      </c>
      <c r="H893" s="140">
        <v>0</v>
      </c>
      <c r="I893" s="140">
        <v>0</v>
      </c>
      <c r="J893" s="140">
        <f t="shared" si="13"/>
        <v>7</v>
      </c>
      <c r="K893" s="3"/>
    </row>
    <row r="894" spans="1:11" x14ac:dyDescent="0.3">
      <c r="A894" s="4" t="s">
        <v>1298</v>
      </c>
      <c r="B894" s="138" t="s">
        <v>360</v>
      </c>
      <c r="C894" s="2" t="s">
        <v>188</v>
      </c>
      <c r="D894" s="2" t="s">
        <v>189</v>
      </c>
      <c r="E894" s="2" t="s">
        <v>376</v>
      </c>
      <c r="F894" s="139">
        <v>2</v>
      </c>
      <c r="G894" s="140">
        <v>0</v>
      </c>
      <c r="H894" s="140">
        <v>0</v>
      </c>
      <c r="I894" s="140">
        <v>0</v>
      </c>
      <c r="J894" s="140">
        <f t="shared" si="13"/>
        <v>2</v>
      </c>
      <c r="K894" s="3"/>
    </row>
    <row r="895" spans="1:11" x14ac:dyDescent="0.3">
      <c r="A895" s="4" t="s">
        <v>1299</v>
      </c>
      <c r="B895" s="138" t="s">
        <v>363</v>
      </c>
      <c r="C895" s="2" t="s">
        <v>208</v>
      </c>
      <c r="D895" s="2" t="s">
        <v>197</v>
      </c>
      <c r="E895" s="2" t="s">
        <v>439</v>
      </c>
      <c r="F895" s="139">
        <v>15</v>
      </c>
      <c r="G895" s="140">
        <v>0</v>
      </c>
      <c r="H895" s="140">
        <v>0</v>
      </c>
      <c r="I895" s="140">
        <v>0</v>
      </c>
      <c r="J895" s="140">
        <f t="shared" si="13"/>
        <v>15</v>
      </c>
      <c r="K895" s="3"/>
    </row>
    <row r="896" spans="1:11" x14ac:dyDescent="0.3">
      <c r="A896" s="4" t="s">
        <v>1300</v>
      </c>
      <c r="B896" s="138" t="s">
        <v>363</v>
      </c>
      <c r="C896" s="2" t="s">
        <v>206</v>
      </c>
      <c r="D896" s="2" t="s">
        <v>189</v>
      </c>
      <c r="E896" s="2" t="s">
        <v>397</v>
      </c>
      <c r="F896" s="139">
        <v>1</v>
      </c>
      <c r="G896" s="140">
        <v>0</v>
      </c>
      <c r="H896" s="140">
        <v>0</v>
      </c>
      <c r="I896" s="140">
        <v>0</v>
      </c>
      <c r="J896" s="140">
        <f t="shared" si="13"/>
        <v>1</v>
      </c>
      <c r="K896" s="3"/>
    </row>
    <row r="897" spans="1:11" x14ac:dyDescent="0.3">
      <c r="A897" s="4" t="s">
        <v>1301</v>
      </c>
      <c r="B897" s="138" t="s">
        <v>360</v>
      </c>
      <c r="C897" s="2" t="s">
        <v>202</v>
      </c>
      <c r="D897" s="2" t="s">
        <v>204</v>
      </c>
      <c r="E897" s="2" t="s">
        <v>366</v>
      </c>
      <c r="F897" s="139">
        <v>2</v>
      </c>
      <c r="G897" s="140">
        <v>0</v>
      </c>
      <c r="H897" s="140">
        <v>0</v>
      </c>
      <c r="I897" s="140">
        <v>0</v>
      </c>
      <c r="J897" s="140">
        <f t="shared" si="13"/>
        <v>2</v>
      </c>
      <c r="K897" s="3"/>
    </row>
    <row r="898" spans="1:11" x14ac:dyDescent="0.3">
      <c r="A898" s="4" t="s">
        <v>1302</v>
      </c>
      <c r="B898" s="138" t="s">
        <v>360</v>
      </c>
      <c r="C898" s="2" t="s">
        <v>202</v>
      </c>
      <c r="D898" s="2" t="s">
        <v>200</v>
      </c>
      <c r="E898" s="2" t="s">
        <v>417</v>
      </c>
      <c r="F898" s="139">
        <v>1</v>
      </c>
      <c r="G898" s="140">
        <v>0</v>
      </c>
      <c r="H898" s="140">
        <v>0</v>
      </c>
      <c r="I898" s="140">
        <v>0</v>
      </c>
      <c r="J898" s="140">
        <f t="shared" si="13"/>
        <v>1</v>
      </c>
      <c r="K898" s="3"/>
    </row>
    <row r="899" spans="1:11" x14ac:dyDescent="0.3">
      <c r="A899" s="4" t="s">
        <v>1303</v>
      </c>
      <c r="B899" s="138" t="s">
        <v>360</v>
      </c>
      <c r="C899" s="2" t="s">
        <v>202</v>
      </c>
      <c r="D899" s="2" t="s">
        <v>199</v>
      </c>
      <c r="E899" s="2" t="s">
        <v>384</v>
      </c>
      <c r="F899" s="139">
        <v>2</v>
      </c>
      <c r="G899" s="140">
        <v>0</v>
      </c>
      <c r="H899" s="140">
        <v>0</v>
      </c>
      <c r="I899" s="140">
        <v>0</v>
      </c>
      <c r="J899" s="140">
        <f t="shared" si="13"/>
        <v>2</v>
      </c>
      <c r="K899" s="3"/>
    </row>
    <row r="900" spans="1:11" x14ac:dyDescent="0.3">
      <c r="A900" s="4" t="s">
        <v>629</v>
      </c>
      <c r="B900" s="138" t="s">
        <v>360</v>
      </c>
      <c r="C900" s="2" t="s">
        <v>202</v>
      </c>
      <c r="D900" s="2" t="s">
        <v>199</v>
      </c>
      <c r="E900" s="2" t="s">
        <v>459</v>
      </c>
      <c r="F900" s="139">
        <v>2</v>
      </c>
      <c r="G900" s="140">
        <v>0</v>
      </c>
      <c r="H900" s="140">
        <v>0</v>
      </c>
      <c r="I900" s="140">
        <v>0</v>
      </c>
      <c r="J900" s="140">
        <f t="shared" si="13"/>
        <v>2</v>
      </c>
      <c r="K900" s="3"/>
    </row>
    <row r="901" spans="1:11" x14ac:dyDescent="0.3">
      <c r="A901" s="4" t="s">
        <v>1304</v>
      </c>
      <c r="B901" s="138" t="s">
        <v>360</v>
      </c>
      <c r="C901" s="2" t="s">
        <v>202</v>
      </c>
      <c r="D901" s="2" t="s">
        <v>199</v>
      </c>
      <c r="E901" s="2" t="s">
        <v>415</v>
      </c>
      <c r="F901" s="139">
        <v>1</v>
      </c>
      <c r="G901" s="140">
        <v>0</v>
      </c>
      <c r="H901" s="140">
        <v>0</v>
      </c>
      <c r="I901" s="140">
        <v>0</v>
      </c>
      <c r="J901" s="140">
        <f t="shared" ref="J901:J964" si="14">SUM(F901:I901)</f>
        <v>1</v>
      </c>
      <c r="K901" s="3"/>
    </row>
    <row r="902" spans="1:11" x14ac:dyDescent="0.3">
      <c r="A902" s="4" t="s">
        <v>1305</v>
      </c>
      <c r="B902" s="138" t="s">
        <v>363</v>
      </c>
      <c r="C902" s="2" t="s">
        <v>208</v>
      </c>
      <c r="D902" s="2" t="s">
        <v>194</v>
      </c>
      <c r="E902" s="2" t="s">
        <v>434</v>
      </c>
      <c r="F902" s="139">
        <v>10</v>
      </c>
      <c r="G902" s="140">
        <v>0</v>
      </c>
      <c r="H902" s="140">
        <v>0</v>
      </c>
      <c r="I902" s="140">
        <v>0</v>
      </c>
      <c r="J902" s="140">
        <f t="shared" si="14"/>
        <v>10</v>
      </c>
      <c r="K902" s="3"/>
    </row>
    <row r="903" spans="1:11" x14ac:dyDescent="0.3">
      <c r="A903" s="4" t="s">
        <v>1306</v>
      </c>
      <c r="B903" s="138" t="s">
        <v>360</v>
      </c>
      <c r="C903" s="2" t="s">
        <v>202</v>
      </c>
      <c r="D903" s="2" t="s">
        <v>199</v>
      </c>
      <c r="E903" s="2" t="s">
        <v>378</v>
      </c>
      <c r="F903" s="139">
        <v>0</v>
      </c>
      <c r="G903" s="140">
        <v>0</v>
      </c>
      <c r="H903" s="140">
        <v>0</v>
      </c>
      <c r="I903" s="140">
        <v>0</v>
      </c>
      <c r="J903" s="140">
        <f t="shared" si="14"/>
        <v>0</v>
      </c>
      <c r="K903" s="3"/>
    </row>
    <row r="904" spans="1:11" x14ac:dyDescent="0.3">
      <c r="A904" s="4" t="s">
        <v>1307</v>
      </c>
      <c r="B904" s="138" t="s">
        <v>363</v>
      </c>
      <c r="C904" s="2" t="s">
        <v>208</v>
      </c>
      <c r="D904" s="2" t="s">
        <v>197</v>
      </c>
      <c r="E904" s="2" t="s">
        <v>439</v>
      </c>
      <c r="F904" s="139">
        <v>1</v>
      </c>
      <c r="G904" s="140">
        <v>0</v>
      </c>
      <c r="H904" s="140">
        <v>0</v>
      </c>
      <c r="I904" s="140">
        <v>0</v>
      </c>
      <c r="J904" s="140">
        <f t="shared" si="14"/>
        <v>1</v>
      </c>
      <c r="K904" s="3"/>
    </row>
    <row r="905" spans="1:11" x14ac:dyDescent="0.3">
      <c r="A905" s="4" t="s">
        <v>1308</v>
      </c>
      <c r="B905" s="138" t="s">
        <v>360</v>
      </c>
      <c r="C905" s="2" t="s">
        <v>202</v>
      </c>
      <c r="D905" s="2" t="s">
        <v>204</v>
      </c>
      <c r="E905" s="2" t="s">
        <v>419</v>
      </c>
      <c r="F905" s="139">
        <v>15</v>
      </c>
      <c r="G905" s="140">
        <v>0</v>
      </c>
      <c r="H905" s="140">
        <v>2</v>
      </c>
      <c r="I905" s="140">
        <v>1</v>
      </c>
      <c r="J905" s="140">
        <f t="shared" si="14"/>
        <v>18</v>
      </c>
      <c r="K905" s="3"/>
    </row>
    <row r="906" spans="1:11" x14ac:dyDescent="0.3">
      <c r="A906" s="4" t="s">
        <v>1309</v>
      </c>
      <c r="B906" s="138" t="s">
        <v>360</v>
      </c>
      <c r="C906" s="2" t="s">
        <v>188</v>
      </c>
      <c r="D906" s="2" t="s">
        <v>189</v>
      </c>
      <c r="E906" s="2" t="s">
        <v>387</v>
      </c>
      <c r="F906" s="139">
        <v>13</v>
      </c>
      <c r="G906" s="140">
        <v>0</v>
      </c>
      <c r="H906" s="140">
        <v>0</v>
      </c>
      <c r="I906" s="140">
        <v>0</v>
      </c>
      <c r="J906" s="140">
        <f t="shared" si="14"/>
        <v>13</v>
      </c>
      <c r="K906" s="3"/>
    </row>
    <row r="907" spans="1:11" x14ac:dyDescent="0.3">
      <c r="A907" s="4" t="s">
        <v>1310</v>
      </c>
      <c r="B907" s="138" t="s">
        <v>360</v>
      </c>
      <c r="C907" s="2" t="s">
        <v>202</v>
      </c>
      <c r="D907" s="2" t="s">
        <v>204</v>
      </c>
      <c r="E907" s="2" t="s">
        <v>538</v>
      </c>
      <c r="F907" s="139">
        <v>16</v>
      </c>
      <c r="G907" s="140">
        <v>14</v>
      </c>
      <c r="H907" s="140">
        <v>0</v>
      </c>
      <c r="I907" s="140">
        <v>2</v>
      </c>
      <c r="J907" s="140">
        <f t="shared" si="14"/>
        <v>32</v>
      </c>
      <c r="K907" s="3"/>
    </row>
    <row r="908" spans="1:11" x14ac:dyDescent="0.3">
      <c r="A908" s="4" t="s">
        <v>1311</v>
      </c>
      <c r="B908" s="138" t="s">
        <v>478</v>
      </c>
      <c r="C908" s="127" t="s">
        <v>205</v>
      </c>
      <c r="D908" s="2" t="s">
        <v>196</v>
      </c>
      <c r="E908" s="2" t="s">
        <v>479</v>
      </c>
      <c r="F908" s="139">
        <v>0</v>
      </c>
      <c r="G908" s="140">
        <v>0</v>
      </c>
      <c r="H908" s="140">
        <v>0</v>
      </c>
      <c r="I908" s="140">
        <v>0</v>
      </c>
      <c r="J908" s="140">
        <f t="shared" si="14"/>
        <v>0</v>
      </c>
      <c r="K908" s="3"/>
    </row>
    <row r="909" spans="1:11" x14ac:dyDescent="0.3">
      <c r="A909" s="4" t="s">
        <v>1312</v>
      </c>
      <c r="B909" s="138" t="s">
        <v>360</v>
      </c>
      <c r="C909" s="2" t="s">
        <v>209</v>
      </c>
      <c r="D909" s="2" t="s">
        <v>197</v>
      </c>
      <c r="E909" s="2" t="s">
        <v>425</v>
      </c>
      <c r="F909" s="139">
        <v>1</v>
      </c>
      <c r="G909" s="140">
        <v>0</v>
      </c>
      <c r="H909" s="140">
        <v>0</v>
      </c>
      <c r="I909" s="140">
        <v>0</v>
      </c>
      <c r="J909" s="140">
        <f t="shared" si="14"/>
        <v>1</v>
      </c>
      <c r="K909" s="3"/>
    </row>
    <row r="910" spans="1:11" x14ac:dyDescent="0.3">
      <c r="A910" s="4" t="s">
        <v>1313</v>
      </c>
      <c r="B910" s="138" t="s">
        <v>360</v>
      </c>
      <c r="C910" s="2" t="s">
        <v>188</v>
      </c>
      <c r="D910" s="2" t="s">
        <v>197</v>
      </c>
      <c r="E910" s="2" t="s">
        <v>862</v>
      </c>
      <c r="F910" s="139">
        <v>8</v>
      </c>
      <c r="G910" s="140">
        <v>0</v>
      </c>
      <c r="H910" s="140">
        <v>0</v>
      </c>
      <c r="I910" s="140">
        <v>0</v>
      </c>
      <c r="J910" s="140">
        <f t="shared" si="14"/>
        <v>8</v>
      </c>
      <c r="K910" s="3"/>
    </row>
    <row r="911" spans="1:11" x14ac:dyDescent="0.3">
      <c r="A911" s="4" t="s">
        <v>1314</v>
      </c>
      <c r="B911" s="138" t="s">
        <v>360</v>
      </c>
      <c r="C911" s="2" t="s">
        <v>202</v>
      </c>
      <c r="D911" s="127" t="s">
        <v>203</v>
      </c>
      <c r="E911" s="2" t="s">
        <v>399</v>
      </c>
      <c r="F911" s="139">
        <v>1</v>
      </c>
      <c r="G911" s="140">
        <v>0</v>
      </c>
      <c r="H911" s="140">
        <v>0</v>
      </c>
      <c r="I911" s="140">
        <v>0</v>
      </c>
      <c r="J911" s="140">
        <f t="shared" si="14"/>
        <v>1</v>
      </c>
      <c r="K911" s="3"/>
    </row>
    <row r="912" spans="1:11" x14ac:dyDescent="0.3">
      <c r="A912" s="4" t="s">
        <v>1315</v>
      </c>
      <c r="B912" s="138" t="s">
        <v>360</v>
      </c>
      <c r="C912" s="2" t="s">
        <v>202</v>
      </c>
      <c r="D912" s="2" t="s">
        <v>204</v>
      </c>
      <c r="E912" s="2" t="s">
        <v>366</v>
      </c>
      <c r="F912" s="139">
        <v>5</v>
      </c>
      <c r="G912" s="140">
        <v>0</v>
      </c>
      <c r="H912" s="140">
        <v>0</v>
      </c>
      <c r="I912" s="140">
        <v>0</v>
      </c>
      <c r="J912" s="140">
        <f t="shared" si="14"/>
        <v>5</v>
      </c>
      <c r="K912" s="3"/>
    </row>
    <row r="913" spans="1:11" x14ac:dyDescent="0.3">
      <c r="A913" s="4" t="s">
        <v>1316</v>
      </c>
      <c r="B913" s="138" t="s">
        <v>363</v>
      </c>
      <c r="C913" s="2" t="s">
        <v>198</v>
      </c>
      <c r="D913" s="2" t="s">
        <v>199</v>
      </c>
      <c r="E913" s="2" t="s">
        <v>364</v>
      </c>
      <c r="F913" s="139">
        <v>11</v>
      </c>
      <c r="G913" s="140">
        <v>0</v>
      </c>
      <c r="H913" s="140">
        <v>0</v>
      </c>
      <c r="I913" s="140">
        <v>7</v>
      </c>
      <c r="J913" s="140">
        <f t="shared" si="14"/>
        <v>18</v>
      </c>
      <c r="K913" s="3"/>
    </row>
    <row r="914" spans="1:11" x14ac:dyDescent="0.3">
      <c r="A914" s="4" t="s">
        <v>1317</v>
      </c>
      <c r="B914" s="138" t="s">
        <v>360</v>
      </c>
      <c r="C914" s="2" t="s">
        <v>202</v>
      </c>
      <c r="D914" s="2" t="s">
        <v>204</v>
      </c>
      <c r="E914" s="2" t="s">
        <v>457</v>
      </c>
      <c r="F914" s="139">
        <v>13</v>
      </c>
      <c r="G914" s="140">
        <v>0</v>
      </c>
      <c r="H914" s="140">
        <v>0</v>
      </c>
      <c r="I914" s="140">
        <v>3</v>
      </c>
      <c r="J914" s="140">
        <f t="shared" si="14"/>
        <v>16</v>
      </c>
      <c r="K914" s="3"/>
    </row>
    <row r="915" spans="1:11" x14ac:dyDescent="0.3">
      <c r="A915" s="4" t="s">
        <v>1318</v>
      </c>
      <c r="B915" s="138" t="s">
        <v>360</v>
      </c>
      <c r="C915" s="2" t="s">
        <v>202</v>
      </c>
      <c r="D915" s="2" t="s">
        <v>199</v>
      </c>
      <c r="E915" s="2" t="s">
        <v>428</v>
      </c>
      <c r="F915" s="139">
        <v>11</v>
      </c>
      <c r="G915" s="140">
        <v>0</v>
      </c>
      <c r="H915" s="140">
        <v>0</v>
      </c>
      <c r="I915" s="140">
        <v>0</v>
      </c>
      <c r="J915" s="140">
        <f t="shared" si="14"/>
        <v>11</v>
      </c>
      <c r="K915" s="3"/>
    </row>
    <row r="916" spans="1:11" x14ac:dyDescent="0.3">
      <c r="A916" s="4" t="s">
        <v>1319</v>
      </c>
      <c r="B916" s="138" t="s">
        <v>360</v>
      </c>
      <c r="C916" s="2" t="s">
        <v>188</v>
      </c>
      <c r="D916" s="2" t="s">
        <v>196</v>
      </c>
      <c r="E916" s="2" t="s">
        <v>423</v>
      </c>
      <c r="F916" s="139">
        <v>2</v>
      </c>
      <c r="G916" s="140">
        <v>0</v>
      </c>
      <c r="H916" s="140">
        <v>0</v>
      </c>
      <c r="I916" s="140">
        <v>0</v>
      </c>
      <c r="J916" s="140">
        <f t="shared" si="14"/>
        <v>2</v>
      </c>
      <c r="K916" s="3"/>
    </row>
    <row r="917" spans="1:11" x14ac:dyDescent="0.3">
      <c r="A917" s="4" t="s">
        <v>1320</v>
      </c>
      <c r="B917" s="138" t="s">
        <v>360</v>
      </c>
      <c r="C917" s="2" t="s">
        <v>202</v>
      </c>
      <c r="D917" s="2" t="s">
        <v>204</v>
      </c>
      <c r="E917" s="2" t="s">
        <v>391</v>
      </c>
      <c r="F917" s="139">
        <v>3</v>
      </c>
      <c r="G917" s="140">
        <v>16</v>
      </c>
      <c r="H917" s="140">
        <v>0</v>
      </c>
      <c r="I917" s="140">
        <v>0</v>
      </c>
      <c r="J917" s="140">
        <f t="shared" si="14"/>
        <v>19</v>
      </c>
      <c r="K917" s="3"/>
    </row>
    <row r="918" spans="1:11" x14ac:dyDescent="0.3">
      <c r="A918" s="4" t="s">
        <v>1321</v>
      </c>
      <c r="B918" s="138" t="s">
        <v>363</v>
      </c>
      <c r="C918" s="2" t="s">
        <v>206</v>
      </c>
      <c r="D918" s="2" t="s">
        <v>189</v>
      </c>
      <c r="E918" s="2" t="s">
        <v>397</v>
      </c>
      <c r="F918" s="139">
        <v>8</v>
      </c>
      <c r="G918" s="140">
        <v>0</v>
      </c>
      <c r="H918" s="140">
        <v>0</v>
      </c>
      <c r="I918" s="140">
        <v>0</v>
      </c>
      <c r="J918" s="140">
        <f t="shared" si="14"/>
        <v>8</v>
      </c>
      <c r="K918" s="3"/>
    </row>
    <row r="919" spans="1:11" x14ac:dyDescent="0.3">
      <c r="A919" s="4" t="s">
        <v>1322</v>
      </c>
      <c r="B919" s="138" t="s">
        <v>360</v>
      </c>
      <c r="C919" s="2" t="s">
        <v>202</v>
      </c>
      <c r="D919" s="2" t="s">
        <v>204</v>
      </c>
      <c r="E919" s="2" t="s">
        <v>457</v>
      </c>
      <c r="F919" s="139">
        <v>0</v>
      </c>
      <c r="G919" s="140">
        <v>0</v>
      </c>
      <c r="H919" s="140">
        <v>0</v>
      </c>
      <c r="I919" s="140">
        <v>0</v>
      </c>
      <c r="J919" s="140">
        <f t="shared" si="14"/>
        <v>0</v>
      </c>
      <c r="K919" s="3"/>
    </row>
    <row r="920" spans="1:11" x14ac:dyDescent="0.3">
      <c r="A920" s="4" t="s">
        <v>1323</v>
      </c>
      <c r="B920" s="138" t="s">
        <v>360</v>
      </c>
      <c r="C920" s="2" t="s">
        <v>202</v>
      </c>
      <c r="D920" s="2" t="s">
        <v>199</v>
      </c>
      <c r="E920" s="2" t="s">
        <v>473</v>
      </c>
      <c r="F920" s="139">
        <v>1</v>
      </c>
      <c r="G920" s="140">
        <v>0</v>
      </c>
      <c r="H920" s="140">
        <v>0</v>
      </c>
      <c r="I920" s="140">
        <v>0</v>
      </c>
      <c r="J920" s="140">
        <f t="shared" si="14"/>
        <v>1</v>
      </c>
      <c r="K920" s="3"/>
    </row>
    <row r="921" spans="1:11" x14ac:dyDescent="0.3">
      <c r="A921" s="4" t="s">
        <v>1324</v>
      </c>
      <c r="B921" s="138" t="s">
        <v>360</v>
      </c>
      <c r="C921" s="2" t="s">
        <v>188</v>
      </c>
      <c r="D921" s="2" t="s">
        <v>196</v>
      </c>
      <c r="E921" s="2" t="s">
        <v>423</v>
      </c>
      <c r="F921" s="139">
        <v>3</v>
      </c>
      <c r="G921" s="140">
        <v>0</v>
      </c>
      <c r="H921" s="140">
        <v>0</v>
      </c>
      <c r="I921" s="140">
        <v>0</v>
      </c>
      <c r="J921" s="140">
        <f t="shared" si="14"/>
        <v>3</v>
      </c>
      <c r="K921" s="3"/>
    </row>
    <row r="922" spans="1:11" x14ac:dyDescent="0.3">
      <c r="A922" s="4" t="s">
        <v>1325</v>
      </c>
      <c r="B922" s="138" t="s">
        <v>360</v>
      </c>
      <c r="C922" s="2" t="s">
        <v>202</v>
      </c>
      <c r="D922" s="2" t="s">
        <v>199</v>
      </c>
      <c r="E922" s="2" t="s">
        <v>428</v>
      </c>
      <c r="F922" s="139">
        <v>7</v>
      </c>
      <c r="G922" s="140">
        <v>4</v>
      </c>
      <c r="H922" s="140">
        <v>0</v>
      </c>
      <c r="I922" s="140">
        <v>0</v>
      </c>
      <c r="J922" s="140">
        <f t="shared" si="14"/>
        <v>11</v>
      </c>
      <c r="K922" s="3"/>
    </row>
    <row r="923" spans="1:11" x14ac:dyDescent="0.3">
      <c r="A923" s="4" t="s">
        <v>1326</v>
      </c>
      <c r="B923" s="138" t="s">
        <v>360</v>
      </c>
      <c r="C923" s="2" t="s">
        <v>188</v>
      </c>
      <c r="D923" s="2" t="s">
        <v>189</v>
      </c>
      <c r="E923" s="2" t="s">
        <v>376</v>
      </c>
      <c r="F923" s="139">
        <v>3</v>
      </c>
      <c r="G923" s="140">
        <v>0</v>
      </c>
      <c r="H923" s="140">
        <v>0</v>
      </c>
      <c r="I923" s="140">
        <v>0</v>
      </c>
      <c r="J923" s="140">
        <f t="shared" si="14"/>
        <v>3</v>
      </c>
      <c r="K923" s="3"/>
    </row>
    <row r="924" spans="1:11" x14ac:dyDescent="0.3">
      <c r="A924" s="4" t="s">
        <v>1327</v>
      </c>
      <c r="B924" s="138" t="s">
        <v>360</v>
      </c>
      <c r="C924" s="2" t="s">
        <v>202</v>
      </c>
      <c r="D924" s="2" t="s">
        <v>199</v>
      </c>
      <c r="E924" s="2" t="s">
        <v>459</v>
      </c>
      <c r="F924" s="139">
        <v>8</v>
      </c>
      <c r="G924" s="140">
        <v>0</v>
      </c>
      <c r="H924" s="140">
        <v>0</v>
      </c>
      <c r="I924" s="140">
        <v>0</v>
      </c>
      <c r="J924" s="140">
        <f t="shared" si="14"/>
        <v>8</v>
      </c>
      <c r="K924" s="3"/>
    </row>
    <row r="925" spans="1:11" x14ac:dyDescent="0.3">
      <c r="A925" s="4" t="s">
        <v>1328</v>
      </c>
      <c r="B925" s="138" t="s">
        <v>478</v>
      </c>
      <c r="C925" s="127" t="s">
        <v>205</v>
      </c>
      <c r="D925" s="2" t="s">
        <v>196</v>
      </c>
      <c r="E925" s="2" t="s">
        <v>479</v>
      </c>
      <c r="F925" s="139">
        <v>4</v>
      </c>
      <c r="G925" s="140">
        <v>0</v>
      </c>
      <c r="H925" s="140">
        <v>0</v>
      </c>
      <c r="I925" s="140">
        <v>0</v>
      </c>
      <c r="J925" s="140">
        <f t="shared" si="14"/>
        <v>4</v>
      </c>
      <c r="K925" s="3"/>
    </row>
    <row r="926" spans="1:11" x14ac:dyDescent="0.3">
      <c r="A926" s="4" t="s">
        <v>1329</v>
      </c>
      <c r="B926" s="138" t="s">
        <v>363</v>
      </c>
      <c r="C926" s="2" t="s">
        <v>198</v>
      </c>
      <c r="D926" s="2" t="s">
        <v>200</v>
      </c>
      <c r="E926" s="2" t="s">
        <v>372</v>
      </c>
      <c r="F926" s="139">
        <v>13</v>
      </c>
      <c r="G926" s="140">
        <v>0</v>
      </c>
      <c r="H926" s="140">
        <v>0</v>
      </c>
      <c r="I926" s="140">
        <v>0</v>
      </c>
      <c r="J926" s="140">
        <f t="shared" si="14"/>
        <v>13</v>
      </c>
      <c r="K926" s="3"/>
    </row>
    <row r="927" spans="1:11" x14ac:dyDescent="0.3">
      <c r="A927" s="4" t="s">
        <v>1330</v>
      </c>
      <c r="B927" s="138" t="s">
        <v>360</v>
      </c>
      <c r="C927" s="2" t="s">
        <v>202</v>
      </c>
      <c r="D927" s="2" t="s">
        <v>199</v>
      </c>
      <c r="E927" s="2" t="s">
        <v>473</v>
      </c>
      <c r="F927" s="139">
        <v>15</v>
      </c>
      <c r="G927" s="140">
        <v>0</v>
      </c>
      <c r="H927" s="140">
        <v>0</v>
      </c>
      <c r="I927" s="140">
        <v>18</v>
      </c>
      <c r="J927" s="140">
        <f t="shared" si="14"/>
        <v>33</v>
      </c>
      <c r="K927" s="3"/>
    </row>
    <row r="928" spans="1:11" x14ac:dyDescent="0.3">
      <c r="A928" s="4" t="s">
        <v>1331</v>
      </c>
      <c r="B928" s="138" t="s">
        <v>363</v>
      </c>
      <c r="C928" s="2" t="s">
        <v>206</v>
      </c>
      <c r="D928" s="2" t="s">
        <v>189</v>
      </c>
      <c r="E928" s="2" t="s">
        <v>541</v>
      </c>
      <c r="F928" s="139">
        <v>7</v>
      </c>
      <c r="G928" s="140">
        <v>0</v>
      </c>
      <c r="H928" s="140">
        <v>0</v>
      </c>
      <c r="I928" s="140">
        <v>0</v>
      </c>
      <c r="J928" s="140">
        <f t="shared" si="14"/>
        <v>7</v>
      </c>
      <c r="K928" s="3"/>
    </row>
    <row r="929" spans="1:11" x14ac:dyDescent="0.3">
      <c r="A929" s="4" t="s">
        <v>1332</v>
      </c>
      <c r="B929" s="138" t="s">
        <v>360</v>
      </c>
      <c r="C929" s="2" t="s">
        <v>202</v>
      </c>
      <c r="D929" s="2" t="s">
        <v>204</v>
      </c>
      <c r="E929" s="2" t="s">
        <v>462</v>
      </c>
      <c r="F929" s="139">
        <v>9</v>
      </c>
      <c r="G929" s="140">
        <v>0</v>
      </c>
      <c r="H929" s="140">
        <v>0</v>
      </c>
      <c r="I929" s="140">
        <v>0</v>
      </c>
      <c r="J929" s="140">
        <f t="shared" si="14"/>
        <v>9</v>
      </c>
      <c r="K929" s="3"/>
    </row>
    <row r="930" spans="1:11" x14ac:dyDescent="0.3">
      <c r="A930" s="4" t="s">
        <v>1333</v>
      </c>
      <c r="B930" s="138" t="s">
        <v>360</v>
      </c>
      <c r="C930" s="2" t="s">
        <v>209</v>
      </c>
      <c r="D930" s="2" t="s">
        <v>197</v>
      </c>
      <c r="E930" s="2" t="s">
        <v>425</v>
      </c>
      <c r="F930" s="139">
        <v>9</v>
      </c>
      <c r="G930" s="140">
        <v>0</v>
      </c>
      <c r="H930" s="140">
        <v>0</v>
      </c>
      <c r="I930" s="140">
        <v>0</v>
      </c>
      <c r="J930" s="140">
        <f t="shared" si="14"/>
        <v>9</v>
      </c>
      <c r="K930" s="3"/>
    </row>
    <row r="931" spans="1:11" x14ac:dyDescent="0.3">
      <c r="A931" s="4" t="s">
        <v>1334</v>
      </c>
      <c r="B931" s="138" t="s">
        <v>363</v>
      </c>
      <c r="C931" s="2" t="s">
        <v>198</v>
      </c>
      <c r="D931" s="2" t="s">
        <v>199</v>
      </c>
      <c r="E931" s="2" t="s">
        <v>402</v>
      </c>
      <c r="F931" s="139">
        <v>6</v>
      </c>
      <c r="G931" s="140">
        <v>12</v>
      </c>
      <c r="H931" s="140">
        <v>0</v>
      </c>
      <c r="I931" s="140">
        <v>0</v>
      </c>
      <c r="J931" s="140">
        <f t="shared" si="14"/>
        <v>18</v>
      </c>
      <c r="K931" s="3"/>
    </row>
    <row r="932" spans="1:11" x14ac:dyDescent="0.3">
      <c r="A932" s="4" t="s">
        <v>1335</v>
      </c>
      <c r="B932" s="138" t="s">
        <v>360</v>
      </c>
      <c r="C932" s="2" t="s">
        <v>202</v>
      </c>
      <c r="D932" s="2" t="s">
        <v>199</v>
      </c>
      <c r="E932" s="2" t="s">
        <v>384</v>
      </c>
      <c r="F932" s="139">
        <v>1</v>
      </c>
      <c r="G932" s="140">
        <v>0</v>
      </c>
      <c r="H932" s="140">
        <v>0</v>
      </c>
      <c r="I932" s="140">
        <v>0</v>
      </c>
      <c r="J932" s="140">
        <f t="shared" si="14"/>
        <v>1</v>
      </c>
      <c r="K932" s="3"/>
    </row>
    <row r="933" spans="1:11" x14ac:dyDescent="0.3">
      <c r="A933" s="4" t="s">
        <v>1336</v>
      </c>
      <c r="B933" s="138" t="s">
        <v>478</v>
      </c>
      <c r="C933" s="127" t="s">
        <v>205</v>
      </c>
      <c r="D933" s="2" t="s">
        <v>196</v>
      </c>
      <c r="E933" s="2" t="s">
        <v>479</v>
      </c>
      <c r="F933" s="139">
        <v>15</v>
      </c>
      <c r="G933" s="140">
        <v>0</v>
      </c>
      <c r="H933" s="140">
        <v>0</v>
      </c>
      <c r="I933" s="140">
        <v>20</v>
      </c>
      <c r="J933" s="140">
        <f t="shared" si="14"/>
        <v>35</v>
      </c>
      <c r="K933" s="3"/>
    </row>
    <row r="934" spans="1:11" x14ac:dyDescent="0.3">
      <c r="A934" s="4" t="s">
        <v>1337</v>
      </c>
      <c r="B934" s="138" t="s">
        <v>360</v>
      </c>
      <c r="C934" s="2" t="s">
        <v>202</v>
      </c>
      <c r="D934" s="2" t="s">
        <v>204</v>
      </c>
      <c r="E934" s="2" t="s">
        <v>412</v>
      </c>
      <c r="F934" s="139">
        <v>7</v>
      </c>
      <c r="G934" s="140">
        <v>0</v>
      </c>
      <c r="H934" s="140">
        <v>0</v>
      </c>
      <c r="I934" s="140">
        <v>0</v>
      </c>
      <c r="J934" s="140">
        <f t="shared" si="14"/>
        <v>7</v>
      </c>
      <c r="K934" s="3"/>
    </row>
    <row r="935" spans="1:11" x14ac:dyDescent="0.3">
      <c r="A935" s="4" t="s">
        <v>1338</v>
      </c>
      <c r="B935" s="138" t="s">
        <v>360</v>
      </c>
      <c r="C935" s="2" t="s">
        <v>202</v>
      </c>
      <c r="D935" s="2" t="s">
        <v>199</v>
      </c>
      <c r="E935" s="2" t="s">
        <v>393</v>
      </c>
      <c r="F935" s="139">
        <v>6</v>
      </c>
      <c r="G935" s="140">
        <v>0</v>
      </c>
      <c r="H935" s="140">
        <v>0</v>
      </c>
      <c r="I935" s="140">
        <v>0</v>
      </c>
      <c r="J935" s="140">
        <f t="shared" si="14"/>
        <v>6</v>
      </c>
      <c r="K935" s="3"/>
    </row>
    <row r="936" spans="1:11" x14ac:dyDescent="0.3">
      <c r="A936" s="4" t="s">
        <v>1339</v>
      </c>
      <c r="B936" s="138" t="s">
        <v>363</v>
      </c>
      <c r="C936" s="2" t="s">
        <v>206</v>
      </c>
      <c r="D936" s="2" t="s">
        <v>197</v>
      </c>
      <c r="E936" s="2" t="s">
        <v>637</v>
      </c>
      <c r="F936" s="139">
        <v>5</v>
      </c>
      <c r="G936" s="140">
        <v>3</v>
      </c>
      <c r="H936" s="140">
        <v>0</v>
      </c>
      <c r="I936" s="140">
        <v>0</v>
      </c>
      <c r="J936" s="140">
        <f t="shared" si="14"/>
        <v>8</v>
      </c>
      <c r="K936" s="3"/>
    </row>
    <row r="937" spans="1:11" x14ac:dyDescent="0.3">
      <c r="A937" s="4" t="s">
        <v>1340</v>
      </c>
      <c r="B937" s="138" t="s">
        <v>478</v>
      </c>
      <c r="C937" s="127" t="s">
        <v>205</v>
      </c>
      <c r="D937" s="2" t="s">
        <v>189</v>
      </c>
      <c r="E937" s="2" t="s">
        <v>498</v>
      </c>
      <c r="F937" s="139">
        <v>2</v>
      </c>
      <c r="G937" s="140">
        <v>0</v>
      </c>
      <c r="H937" s="140">
        <v>0</v>
      </c>
      <c r="I937" s="140">
        <v>0</v>
      </c>
      <c r="J937" s="140">
        <f t="shared" si="14"/>
        <v>2</v>
      </c>
      <c r="K937" s="3"/>
    </row>
    <row r="938" spans="1:11" x14ac:dyDescent="0.3">
      <c r="A938" s="4" t="s">
        <v>1341</v>
      </c>
      <c r="B938" s="138" t="s">
        <v>360</v>
      </c>
      <c r="C938" s="2" t="s">
        <v>188</v>
      </c>
      <c r="D938" s="2" t="s">
        <v>196</v>
      </c>
      <c r="E938" s="2" t="s">
        <v>395</v>
      </c>
      <c r="F938" s="139">
        <v>7</v>
      </c>
      <c r="G938" s="140">
        <v>0</v>
      </c>
      <c r="H938" s="140">
        <v>0</v>
      </c>
      <c r="I938" s="140">
        <v>0</v>
      </c>
      <c r="J938" s="140">
        <f t="shared" si="14"/>
        <v>7</v>
      </c>
      <c r="K938" s="3"/>
    </row>
    <row r="939" spans="1:11" x14ac:dyDescent="0.3">
      <c r="A939" s="4" t="s">
        <v>1342</v>
      </c>
      <c r="B939" s="138" t="s">
        <v>360</v>
      </c>
      <c r="C939" s="2" t="s">
        <v>202</v>
      </c>
      <c r="D939" s="2" t="s">
        <v>204</v>
      </c>
      <c r="E939" s="2" t="s">
        <v>389</v>
      </c>
      <c r="F939" s="139">
        <v>1</v>
      </c>
      <c r="G939" s="140">
        <v>0</v>
      </c>
      <c r="H939" s="140">
        <v>0</v>
      </c>
      <c r="I939" s="140">
        <v>0</v>
      </c>
      <c r="J939" s="140">
        <f t="shared" si="14"/>
        <v>1</v>
      </c>
      <c r="K939" s="3"/>
    </row>
    <row r="940" spans="1:11" x14ac:dyDescent="0.3">
      <c r="A940" s="4" t="s">
        <v>1343</v>
      </c>
      <c r="B940" s="138" t="s">
        <v>360</v>
      </c>
      <c r="C940" s="2" t="s">
        <v>202</v>
      </c>
      <c r="D940" s="2" t="s">
        <v>204</v>
      </c>
      <c r="E940" s="2" t="s">
        <v>538</v>
      </c>
      <c r="F940" s="139">
        <v>2</v>
      </c>
      <c r="G940" s="140">
        <v>0</v>
      </c>
      <c r="H940" s="140">
        <v>0</v>
      </c>
      <c r="I940" s="140">
        <v>0</v>
      </c>
      <c r="J940" s="140">
        <f t="shared" si="14"/>
        <v>2</v>
      </c>
      <c r="K940" s="3"/>
    </row>
    <row r="941" spans="1:11" x14ac:dyDescent="0.3">
      <c r="A941" s="4" t="s">
        <v>1344</v>
      </c>
      <c r="B941" s="138" t="s">
        <v>363</v>
      </c>
      <c r="C941" s="2" t="s">
        <v>198</v>
      </c>
      <c r="D941" s="2" t="s">
        <v>199</v>
      </c>
      <c r="E941" s="2" t="s">
        <v>402</v>
      </c>
      <c r="F941" s="139">
        <v>3</v>
      </c>
      <c r="G941" s="140">
        <v>0</v>
      </c>
      <c r="H941" s="140">
        <v>0</v>
      </c>
      <c r="I941" s="140">
        <v>0</v>
      </c>
      <c r="J941" s="140">
        <f t="shared" si="14"/>
        <v>3</v>
      </c>
      <c r="K941" s="3"/>
    </row>
    <row r="942" spans="1:11" x14ac:dyDescent="0.3">
      <c r="A942" s="4" t="s">
        <v>1345</v>
      </c>
      <c r="B942" s="138" t="s">
        <v>363</v>
      </c>
      <c r="C942" s="2" t="s">
        <v>208</v>
      </c>
      <c r="D942" s="2" t="s">
        <v>194</v>
      </c>
      <c r="E942" s="2" t="s">
        <v>434</v>
      </c>
      <c r="F942" s="139">
        <v>10</v>
      </c>
      <c r="G942" s="140">
        <v>2</v>
      </c>
      <c r="H942" s="140">
        <v>0</v>
      </c>
      <c r="I942" s="140">
        <v>0</v>
      </c>
      <c r="J942" s="140">
        <f t="shared" si="14"/>
        <v>12</v>
      </c>
      <c r="K942" s="3"/>
    </row>
    <row r="943" spans="1:11" x14ac:dyDescent="0.3">
      <c r="A943" s="4" t="s">
        <v>1346</v>
      </c>
      <c r="B943" s="138" t="s">
        <v>360</v>
      </c>
      <c r="C943" s="2" t="s">
        <v>202</v>
      </c>
      <c r="D943" s="2" t="s">
        <v>199</v>
      </c>
      <c r="E943" s="2" t="s">
        <v>378</v>
      </c>
      <c r="F943" s="139">
        <v>4</v>
      </c>
      <c r="G943" s="140">
        <v>0</v>
      </c>
      <c r="H943" s="140">
        <v>0</v>
      </c>
      <c r="I943" s="140">
        <v>0</v>
      </c>
      <c r="J943" s="140">
        <f t="shared" si="14"/>
        <v>4</v>
      </c>
      <c r="K943" s="3"/>
    </row>
    <row r="944" spans="1:11" x14ac:dyDescent="0.3">
      <c r="A944" s="4" t="s">
        <v>1347</v>
      </c>
      <c r="B944" s="138" t="s">
        <v>360</v>
      </c>
      <c r="C944" s="2" t="s">
        <v>202</v>
      </c>
      <c r="D944" s="2" t="s">
        <v>204</v>
      </c>
      <c r="E944" s="2" t="s">
        <v>361</v>
      </c>
      <c r="F944" s="139">
        <v>0</v>
      </c>
      <c r="G944" s="140">
        <v>0</v>
      </c>
      <c r="H944" s="140">
        <v>0</v>
      </c>
      <c r="I944" s="140">
        <v>0</v>
      </c>
      <c r="J944" s="140">
        <f t="shared" si="14"/>
        <v>0</v>
      </c>
      <c r="K944" s="3"/>
    </row>
    <row r="945" spans="1:11" x14ac:dyDescent="0.3">
      <c r="A945" s="4" t="s">
        <v>1348</v>
      </c>
      <c r="B945" s="138" t="s">
        <v>360</v>
      </c>
      <c r="C945" s="2" t="s">
        <v>202</v>
      </c>
      <c r="D945" s="2" t="s">
        <v>199</v>
      </c>
      <c r="E945" s="2" t="s">
        <v>393</v>
      </c>
      <c r="F945" s="139">
        <v>0</v>
      </c>
      <c r="G945" s="140">
        <v>0</v>
      </c>
      <c r="H945" s="140">
        <v>0</v>
      </c>
      <c r="I945" s="140">
        <v>0</v>
      </c>
      <c r="J945" s="140">
        <f t="shared" si="14"/>
        <v>0</v>
      </c>
      <c r="K945" s="3"/>
    </row>
    <row r="946" spans="1:11" x14ac:dyDescent="0.3">
      <c r="A946" s="4" t="s">
        <v>1349</v>
      </c>
      <c r="B946" s="138" t="s">
        <v>360</v>
      </c>
      <c r="C946" s="2" t="s">
        <v>202</v>
      </c>
      <c r="D946" s="2" t="s">
        <v>200</v>
      </c>
      <c r="E946" s="2" t="s">
        <v>707</v>
      </c>
      <c r="F946" s="139">
        <v>1</v>
      </c>
      <c r="G946" s="140">
        <v>0</v>
      </c>
      <c r="H946" s="140">
        <v>0</v>
      </c>
      <c r="I946" s="140">
        <v>0</v>
      </c>
      <c r="J946" s="140">
        <f t="shared" si="14"/>
        <v>1</v>
      </c>
      <c r="K946" s="3"/>
    </row>
    <row r="947" spans="1:11" x14ac:dyDescent="0.3">
      <c r="A947" s="4" t="s">
        <v>1350</v>
      </c>
      <c r="B947" s="138" t="s">
        <v>360</v>
      </c>
      <c r="C947" s="2" t="s">
        <v>202</v>
      </c>
      <c r="D947" s="2" t="s">
        <v>199</v>
      </c>
      <c r="E947" s="2" t="s">
        <v>428</v>
      </c>
      <c r="F947" s="139">
        <v>0</v>
      </c>
      <c r="G947" s="140">
        <v>0</v>
      </c>
      <c r="H947" s="140">
        <v>0</v>
      </c>
      <c r="I947" s="140">
        <v>0</v>
      </c>
      <c r="J947" s="140">
        <f t="shared" si="14"/>
        <v>0</v>
      </c>
      <c r="K947" s="3"/>
    </row>
    <row r="948" spans="1:11" x14ac:dyDescent="0.3">
      <c r="A948" s="4" t="s">
        <v>1351</v>
      </c>
      <c r="B948" s="138" t="s">
        <v>363</v>
      </c>
      <c r="C948" s="2" t="s">
        <v>208</v>
      </c>
      <c r="D948" s="2" t="s">
        <v>195</v>
      </c>
      <c r="E948" s="2" t="s">
        <v>500</v>
      </c>
      <c r="F948" s="139">
        <v>15</v>
      </c>
      <c r="G948" s="140">
        <v>0</v>
      </c>
      <c r="H948" s="140">
        <v>0</v>
      </c>
      <c r="I948" s="140">
        <v>0</v>
      </c>
      <c r="J948" s="140">
        <f t="shared" si="14"/>
        <v>15</v>
      </c>
      <c r="K948" s="3"/>
    </row>
    <row r="949" spans="1:11" x14ac:dyDescent="0.3">
      <c r="A949" s="4" t="s">
        <v>1352</v>
      </c>
      <c r="B949" s="138" t="s">
        <v>360</v>
      </c>
      <c r="C949" s="2" t="s">
        <v>202</v>
      </c>
      <c r="D949" s="2" t="s">
        <v>199</v>
      </c>
      <c r="E949" s="2" t="s">
        <v>454</v>
      </c>
      <c r="F949" s="139">
        <v>4</v>
      </c>
      <c r="G949" s="140">
        <v>0</v>
      </c>
      <c r="H949" s="140">
        <v>3</v>
      </c>
      <c r="I949" s="140">
        <v>0</v>
      </c>
      <c r="J949" s="140">
        <f t="shared" si="14"/>
        <v>7</v>
      </c>
      <c r="K949" s="3"/>
    </row>
    <row r="950" spans="1:11" x14ac:dyDescent="0.3">
      <c r="A950" s="4" t="s">
        <v>1353</v>
      </c>
      <c r="B950" s="138" t="s">
        <v>360</v>
      </c>
      <c r="C950" s="2" t="s">
        <v>188</v>
      </c>
      <c r="D950" s="2" t="s">
        <v>195</v>
      </c>
      <c r="E950" s="2" t="s">
        <v>447</v>
      </c>
      <c r="F950" s="139">
        <v>1</v>
      </c>
      <c r="G950" s="140">
        <v>0</v>
      </c>
      <c r="H950" s="140">
        <v>0</v>
      </c>
      <c r="I950" s="140">
        <v>0</v>
      </c>
      <c r="J950" s="140">
        <f t="shared" si="14"/>
        <v>1</v>
      </c>
      <c r="K950" s="3"/>
    </row>
    <row r="951" spans="1:11" x14ac:dyDescent="0.3">
      <c r="A951" s="4" t="s">
        <v>1354</v>
      </c>
      <c r="B951" s="138" t="s">
        <v>363</v>
      </c>
      <c r="C951" s="2" t="s">
        <v>206</v>
      </c>
      <c r="D951" s="2" t="s">
        <v>197</v>
      </c>
      <c r="E951" s="2" t="s">
        <v>637</v>
      </c>
      <c r="F951" s="139">
        <v>3</v>
      </c>
      <c r="G951" s="140">
        <v>0</v>
      </c>
      <c r="H951" s="140">
        <v>0</v>
      </c>
      <c r="I951" s="140">
        <v>0</v>
      </c>
      <c r="J951" s="140">
        <f t="shared" si="14"/>
        <v>3</v>
      </c>
      <c r="K951" s="3"/>
    </row>
    <row r="952" spans="1:11" x14ac:dyDescent="0.3">
      <c r="A952" s="4" t="s">
        <v>1355</v>
      </c>
      <c r="B952" s="138" t="s">
        <v>478</v>
      </c>
      <c r="C952" s="127" t="s">
        <v>205</v>
      </c>
      <c r="D952" s="2" t="s">
        <v>196</v>
      </c>
      <c r="E952" s="2" t="s">
        <v>479</v>
      </c>
      <c r="F952" s="139">
        <v>0</v>
      </c>
      <c r="G952" s="140">
        <v>0</v>
      </c>
      <c r="H952" s="140">
        <v>0</v>
      </c>
      <c r="I952" s="140">
        <v>0</v>
      </c>
      <c r="J952" s="140">
        <f t="shared" si="14"/>
        <v>0</v>
      </c>
      <c r="K952" s="3"/>
    </row>
    <row r="953" spans="1:11" x14ac:dyDescent="0.3">
      <c r="A953" s="4" t="s">
        <v>1356</v>
      </c>
      <c r="B953" s="138" t="s">
        <v>360</v>
      </c>
      <c r="C953" s="2" t="s">
        <v>202</v>
      </c>
      <c r="D953" s="2" t="s">
        <v>199</v>
      </c>
      <c r="E953" s="2" t="s">
        <v>384</v>
      </c>
      <c r="F953" s="139">
        <v>15</v>
      </c>
      <c r="G953" s="140">
        <v>0</v>
      </c>
      <c r="H953" s="140">
        <v>0</v>
      </c>
      <c r="I953" s="140">
        <v>0</v>
      </c>
      <c r="J953" s="140">
        <f t="shared" si="14"/>
        <v>15</v>
      </c>
      <c r="K953" s="3"/>
    </row>
    <row r="954" spans="1:11" x14ac:dyDescent="0.3">
      <c r="A954" s="4" t="s">
        <v>1357</v>
      </c>
      <c r="B954" s="138" t="s">
        <v>360</v>
      </c>
      <c r="C954" s="2" t="s">
        <v>202</v>
      </c>
      <c r="D954" s="2" t="s">
        <v>199</v>
      </c>
      <c r="E954" s="2" t="s">
        <v>459</v>
      </c>
      <c r="F954" s="139">
        <v>0</v>
      </c>
      <c r="G954" s="140">
        <v>0</v>
      </c>
      <c r="H954" s="140">
        <v>0</v>
      </c>
      <c r="I954" s="140">
        <v>0</v>
      </c>
      <c r="J954" s="140">
        <f t="shared" si="14"/>
        <v>0</v>
      </c>
      <c r="K954" s="3"/>
    </row>
    <row r="955" spans="1:11" x14ac:dyDescent="0.3">
      <c r="A955" s="4" t="s">
        <v>1358</v>
      </c>
      <c r="B955" s="138" t="s">
        <v>360</v>
      </c>
      <c r="C955" s="2" t="s">
        <v>202</v>
      </c>
      <c r="D955" s="2" t="s">
        <v>199</v>
      </c>
      <c r="E955" s="2" t="s">
        <v>428</v>
      </c>
      <c r="F955" s="139">
        <v>13</v>
      </c>
      <c r="G955" s="140">
        <v>0</v>
      </c>
      <c r="H955" s="140">
        <v>0</v>
      </c>
      <c r="I955" s="140">
        <v>0</v>
      </c>
      <c r="J955" s="140">
        <f t="shared" si="14"/>
        <v>13</v>
      </c>
      <c r="K955" s="3"/>
    </row>
    <row r="956" spans="1:11" x14ac:dyDescent="0.3">
      <c r="A956" s="4" t="s">
        <v>1359</v>
      </c>
      <c r="B956" s="138" t="s">
        <v>363</v>
      </c>
      <c r="C956" s="2" t="s">
        <v>198</v>
      </c>
      <c r="D956" s="2" t="s">
        <v>200</v>
      </c>
      <c r="E956" s="2" t="s">
        <v>450</v>
      </c>
      <c r="F956" s="139">
        <v>0</v>
      </c>
      <c r="G956" s="140">
        <v>0</v>
      </c>
      <c r="H956" s="140">
        <v>0</v>
      </c>
      <c r="I956" s="140">
        <v>0</v>
      </c>
      <c r="J956" s="140">
        <f t="shared" si="14"/>
        <v>0</v>
      </c>
      <c r="K956" s="3"/>
    </row>
    <row r="957" spans="1:11" x14ac:dyDescent="0.3">
      <c r="A957" s="4" t="s">
        <v>1360</v>
      </c>
      <c r="B957" s="138" t="s">
        <v>360</v>
      </c>
      <c r="C957" s="2" t="s">
        <v>202</v>
      </c>
      <c r="D957" s="2" t="s">
        <v>204</v>
      </c>
      <c r="E957" s="2" t="s">
        <v>419</v>
      </c>
      <c r="F957" s="139">
        <v>5</v>
      </c>
      <c r="G957" s="140">
        <v>0</v>
      </c>
      <c r="H957" s="140">
        <v>0</v>
      </c>
      <c r="I957" s="140">
        <v>0</v>
      </c>
      <c r="J957" s="140">
        <f t="shared" si="14"/>
        <v>5</v>
      </c>
      <c r="K957" s="3"/>
    </row>
    <row r="958" spans="1:11" x14ac:dyDescent="0.3">
      <c r="A958" s="4" t="s">
        <v>1361</v>
      </c>
      <c r="B958" s="138" t="s">
        <v>360</v>
      </c>
      <c r="C958" s="2" t="s">
        <v>188</v>
      </c>
      <c r="D958" s="2" t="s">
        <v>196</v>
      </c>
      <c r="E958" s="2" t="s">
        <v>423</v>
      </c>
      <c r="F958" s="139">
        <v>1</v>
      </c>
      <c r="G958" s="140">
        <v>0</v>
      </c>
      <c r="H958" s="140">
        <v>0</v>
      </c>
      <c r="I958" s="140">
        <v>0</v>
      </c>
      <c r="J958" s="140">
        <f t="shared" si="14"/>
        <v>1</v>
      </c>
      <c r="K958" s="3"/>
    </row>
    <row r="959" spans="1:11" x14ac:dyDescent="0.3">
      <c r="A959" s="4" t="s">
        <v>1362</v>
      </c>
      <c r="B959" s="138" t="s">
        <v>363</v>
      </c>
      <c r="C959" s="2" t="s">
        <v>198</v>
      </c>
      <c r="D959" s="2" t="s">
        <v>199</v>
      </c>
      <c r="E959" s="2" t="s">
        <v>380</v>
      </c>
      <c r="F959" s="139">
        <v>1</v>
      </c>
      <c r="G959" s="140">
        <v>0</v>
      </c>
      <c r="H959" s="140">
        <v>0</v>
      </c>
      <c r="I959" s="140">
        <v>0</v>
      </c>
      <c r="J959" s="140">
        <f t="shared" si="14"/>
        <v>1</v>
      </c>
      <c r="K959" s="3"/>
    </row>
    <row r="960" spans="1:11" x14ac:dyDescent="0.3">
      <c r="A960" s="4" t="s">
        <v>1363</v>
      </c>
      <c r="B960" s="138" t="s">
        <v>360</v>
      </c>
      <c r="C960" s="2" t="s">
        <v>202</v>
      </c>
      <c r="D960" s="2" t="s">
        <v>199</v>
      </c>
      <c r="E960" s="2" t="s">
        <v>378</v>
      </c>
      <c r="F960" s="139">
        <v>5</v>
      </c>
      <c r="G960" s="140">
        <v>0</v>
      </c>
      <c r="H960" s="140">
        <v>0</v>
      </c>
      <c r="I960" s="140">
        <v>0</v>
      </c>
      <c r="J960" s="140">
        <f t="shared" si="14"/>
        <v>5</v>
      </c>
      <c r="K960" s="3"/>
    </row>
    <row r="961" spans="1:11" x14ac:dyDescent="0.3">
      <c r="A961" s="4" t="s">
        <v>1364</v>
      </c>
      <c r="B961" s="138" t="s">
        <v>478</v>
      </c>
      <c r="C961" s="127" t="s">
        <v>205</v>
      </c>
      <c r="D961" s="2" t="s">
        <v>189</v>
      </c>
      <c r="E961" s="2" t="s">
        <v>498</v>
      </c>
      <c r="F961" s="139">
        <v>2</v>
      </c>
      <c r="G961" s="140">
        <v>0</v>
      </c>
      <c r="H961" s="140">
        <v>0</v>
      </c>
      <c r="I961" s="140">
        <v>0</v>
      </c>
      <c r="J961" s="140">
        <f t="shared" si="14"/>
        <v>2</v>
      </c>
      <c r="K961" s="3"/>
    </row>
    <row r="962" spans="1:11" x14ac:dyDescent="0.3">
      <c r="A962" s="4" t="s">
        <v>1365</v>
      </c>
      <c r="B962" s="138" t="s">
        <v>360</v>
      </c>
      <c r="C962" s="2" t="s">
        <v>202</v>
      </c>
      <c r="D962" s="2" t="s">
        <v>204</v>
      </c>
      <c r="E962" s="2" t="s">
        <v>419</v>
      </c>
      <c r="F962" s="139">
        <v>0</v>
      </c>
      <c r="G962" s="140">
        <v>0</v>
      </c>
      <c r="H962" s="140">
        <v>0</v>
      </c>
      <c r="I962" s="140">
        <v>0</v>
      </c>
      <c r="J962" s="140">
        <f t="shared" si="14"/>
        <v>0</v>
      </c>
      <c r="K962" s="3"/>
    </row>
    <row r="963" spans="1:11" x14ac:dyDescent="0.3">
      <c r="A963" s="4" t="s">
        <v>1366</v>
      </c>
      <c r="B963" s="138" t="s">
        <v>360</v>
      </c>
      <c r="C963" s="2" t="s">
        <v>202</v>
      </c>
      <c r="D963" s="2" t="s">
        <v>204</v>
      </c>
      <c r="E963" s="2" t="s">
        <v>538</v>
      </c>
      <c r="F963" s="139">
        <v>3</v>
      </c>
      <c r="G963" s="140">
        <v>0</v>
      </c>
      <c r="H963" s="140">
        <v>0</v>
      </c>
      <c r="I963" s="140">
        <v>0</v>
      </c>
      <c r="J963" s="140">
        <f t="shared" si="14"/>
        <v>3</v>
      </c>
      <c r="K963" s="3"/>
    </row>
    <row r="964" spans="1:11" x14ac:dyDescent="0.3">
      <c r="A964" s="4" t="s">
        <v>294</v>
      </c>
      <c r="B964" s="138" t="s">
        <v>360</v>
      </c>
      <c r="C964" s="2" t="s">
        <v>202</v>
      </c>
      <c r="D964" s="127" t="s">
        <v>203</v>
      </c>
      <c r="E964" s="2" t="s">
        <v>399</v>
      </c>
      <c r="F964" s="139">
        <v>3</v>
      </c>
      <c r="G964" s="140">
        <v>0</v>
      </c>
      <c r="H964" s="140">
        <v>0</v>
      </c>
      <c r="I964" s="140">
        <v>0</v>
      </c>
      <c r="J964" s="140">
        <f t="shared" si="14"/>
        <v>3</v>
      </c>
      <c r="K964" s="3"/>
    </row>
    <row r="965" spans="1:11" x14ac:dyDescent="0.3">
      <c r="A965" s="4" t="s">
        <v>1367</v>
      </c>
      <c r="B965" s="138" t="s">
        <v>363</v>
      </c>
      <c r="C965" s="2" t="s">
        <v>208</v>
      </c>
      <c r="D965" s="2" t="s">
        <v>195</v>
      </c>
      <c r="E965" s="2" t="s">
        <v>500</v>
      </c>
      <c r="F965" s="139">
        <v>17</v>
      </c>
      <c r="G965" s="140">
        <v>0</v>
      </c>
      <c r="H965" s="140">
        <v>0</v>
      </c>
      <c r="I965" s="140">
        <v>20</v>
      </c>
      <c r="J965" s="140">
        <f t="shared" ref="J965:J1028" si="15">SUM(F965:I965)</f>
        <v>37</v>
      </c>
      <c r="K965" s="3"/>
    </row>
    <row r="966" spans="1:11" x14ac:dyDescent="0.3">
      <c r="A966" s="4" t="s">
        <v>1368</v>
      </c>
      <c r="B966" s="138" t="s">
        <v>360</v>
      </c>
      <c r="C966" s="2" t="s">
        <v>202</v>
      </c>
      <c r="D966" s="2" t="s">
        <v>204</v>
      </c>
      <c r="E966" s="2" t="s">
        <v>370</v>
      </c>
      <c r="F966" s="139">
        <v>5</v>
      </c>
      <c r="G966" s="140">
        <v>0</v>
      </c>
      <c r="H966" s="140">
        <v>0</v>
      </c>
      <c r="I966" s="140">
        <v>0</v>
      </c>
      <c r="J966" s="140">
        <f t="shared" si="15"/>
        <v>5</v>
      </c>
      <c r="K966" s="3"/>
    </row>
    <row r="967" spans="1:11" x14ac:dyDescent="0.3">
      <c r="A967" s="4" t="s">
        <v>1369</v>
      </c>
      <c r="B967" s="138" t="s">
        <v>360</v>
      </c>
      <c r="C967" s="2" t="s">
        <v>202</v>
      </c>
      <c r="D967" s="2" t="s">
        <v>204</v>
      </c>
      <c r="E967" s="2" t="s">
        <v>412</v>
      </c>
      <c r="F967" s="139">
        <v>13</v>
      </c>
      <c r="G967" s="140">
        <v>0</v>
      </c>
      <c r="H967" s="140">
        <v>0</v>
      </c>
      <c r="I967" s="140">
        <v>0</v>
      </c>
      <c r="J967" s="140">
        <f t="shared" si="15"/>
        <v>13</v>
      </c>
      <c r="K967" s="3"/>
    </row>
    <row r="968" spans="1:11" x14ac:dyDescent="0.3">
      <c r="A968" s="4" t="s">
        <v>1370</v>
      </c>
      <c r="B968" s="138" t="s">
        <v>363</v>
      </c>
      <c r="C968" s="2" t="s">
        <v>206</v>
      </c>
      <c r="D968" s="2" t="s">
        <v>189</v>
      </c>
      <c r="E968" s="2" t="s">
        <v>541</v>
      </c>
      <c r="F968" s="139">
        <v>1</v>
      </c>
      <c r="G968" s="140">
        <v>0</v>
      </c>
      <c r="H968" s="140">
        <v>0</v>
      </c>
      <c r="I968" s="140">
        <v>0</v>
      </c>
      <c r="J968" s="140">
        <f t="shared" si="15"/>
        <v>1</v>
      </c>
      <c r="K968" s="3"/>
    </row>
    <row r="969" spans="1:11" x14ac:dyDescent="0.3">
      <c r="A969" s="4" t="s">
        <v>1371</v>
      </c>
      <c r="B969" s="138" t="s">
        <v>360</v>
      </c>
      <c r="C969" s="2" t="s">
        <v>202</v>
      </c>
      <c r="D969" s="127" t="s">
        <v>203</v>
      </c>
      <c r="E969" s="2" t="s">
        <v>399</v>
      </c>
      <c r="F969" s="139">
        <v>1</v>
      </c>
      <c r="G969" s="140">
        <v>6</v>
      </c>
      <c r="H969" s="140">
        <v>0</v>
      </c>
      <c r="I969" s="140">
        <v>0</v>
      </c>
      <c r="J969" s="140">
        <f t="shared" si="15"/>
        <v>7</v>
      </c>
      <c r="K969" s="3"/>
    </row>
    <row r="970" spans="1:11" x14ac:dyDescent="0.3">
      <c r="A970" s="4" t="s">
        <v>1372</v>
      </c>
      <c r="B970" s="138" t="s">
        <v>363</v>
      </c>
      <c r="C970" s="2" t="s">
        <v>198</v>
      </c>
      <c r="D970" s="2" t="s">
        <v>199</v>
      </c>
      <c r="E970" s="2" t="s">
        <v>402</v>
      </c>
      <c r="F970" s="139">
        <v>6</v>
      </c>
      <c r="G970" s="140">
        <v>12</v>
      </c>
      <c r="H970" s="140">
        <v>0</v>
      </c>
      <c r="I970" s="140">
        <v>0</v>
      </c>
      <c r="J970" s="140">
        <f t="shared" si="15"/>
        <v>18</v>
      </c>
      <c r="K970" s="3"/>
    </row>
    <row r="971" spans="1:11" x14ac:dyDescent="0.3">
      <c r="A971" s="4" t="s">
        <v>1373</v>
      </c>
      <c r="B971" s="138" t="s">
        <v>360</v>
      </c>
      <c r="C971" s="2" t="s">
        <v>202</v>
      </c>
      <c r="D971" s="2" t="s">
        <v>197</v>
      </c>
      <c r="E971" s="2" t="s">
        <v>580</v>
      </c>
      <c r="F971" s="139">
        <v>3</v>
      </c>
      <c r="G971" s="140">
        <v>0</v>
      </c>
      <c r="H971" s="140">
        <v>0</v>
      </c>
      <c r="I971" s="140">
        <v>0</v>
      </c>
      <c r="J971" s="140">
        <f t="shared" si="15"/>
        <v>3</v>
      </c>
      <c r="K971" s="3"/>
    </row>
    <row r="972" spans="1:11" x14ac:dyDescent="0.3">
      <c r="A972" s="4" t="s">
        <v>1374</v>
      </c>
      <c r="B972" s="138" t="s">
        <v>478</v>
      </c>
      <c r="C972" s="127" t="s">
        <v>205</v>
      </c>
      <c r="D972" s="2" t="s">
        <v>189</v>
      </c>
      <c r="E972" s="2" t="s">
        <v>498</v>
      </c>
      <c r="F972" s="139">
        <v>0</v>
      </c>
      <c r="G972" s="140">
        <v>0</v>
      </c>
      <c r="H972" s="140">
        <v>0</v>
      </c>
      <c r="I972" s="140">
        <v>0</v>
      </c>
      <c r="J972" s="140">
        <f t="shared" si="15"/>
        <v>0</v>
      </c>
      <c r="K972" s="3"/>
    </row>
    <row r="973" spans="1:11" x14ac:dyDescent="0.3">
      <c r="A973" s="4" t="s">
        <v>1375</v>
      </c>
      <c r="B973" s="138" t="s">
        <v>360</v>
      </c>
      <c r="C973" s="2" t="s">
        <v>188</v>
      </c>
      <c r="D973" s="2" t="s">
        <v>189</v>
      </c>
      <c r="E973" s="2" t="s">
        <v>387</v>
      </c>
      <c r="F973" s="139">
        <v>1</v>
      </c>
      <c r="G973" s="140">
        <v>0</v>
      </c>
      <c r="H973" s="140">
        <v>0</v>
      </c>
      <c r="I973" s="140">
        <v>0</v>
      </c>
      <c r="J973" s="140">
        <f t="shared" si="15"/>
        <v>1</v>
      </c>
      <c r="K973" s="3"/>
    </row>
    <row r="974" spans="1:11" x14ac:dyDescent="0.3">
      <c r="A974" s="4" t="s">
        <v>1376</v>
      </c>
      <c r="B974" s="138" t="s">
        <v>360</v>
      </c>
      <c r="C974" s="2" t="s">
        <v>202</v>
      </c>
      <c r="D974" s="2" t="s">
        <v>199</v>
      </c>
      <c r="E974" s="2" t="s">
        <v>459</v>
      </c>
      <c r="F974" s="139">
        <v>1</v>
      </c>
      <c r="G974" s="140">
        <v>0</v>
      </c>
      <c r="H974" s="140">
        <v>0</v>
      </c>
      <c r="I974" s="140">
        <v>0</v>
      </c>
      <c r="J974" s="140">
        <f t="shared" si="15"/>
        <v>1</v>
      </c>
      <c r="K974" s="3"/>
    </row>
    <row r="975" spans="1:11" x14ac:dyDescent="0.3">
      <c r="A975" s="4" t="s">
        <v>1377</v>
      </c>
      <c r="B975" s="138" t="s">
        <v>360</v>
      </c>
      <c r="C975" s="2" t="s">
        <v>202</v>
      </c>
      <c r="D975" s="127" t="s">
        <v>203</v>
      </c>
      <c r="E975" s="2" t="s">
        <v>399</v>
      </c>
      <c r="F975" s="139">
        <v>2</v>
      </c>
      <c r="G975" s="140">
        <v>0</v>
      </c>
      <c r="H975" s="140">
        <v>0</v>
      </c>
      <c r="I975" s="140">
        <v>0</v>
      </c>
      <c r="J975" s="140">
        <f t="shared" si="15"/>
        <v>2</v>
      </c>
      <c r="K975" s="3"/>
    </row>
    <row r="976" spans="1:11" x14ac:dyDescent="0.3">
      <c r="A976" s="4" t="s">
        <v>1378</v>
      </c>
      <c r="B976" s="138" t="s">
        <v>360</v>
      </c>
      <c r="C976" s="2" t="s">
        <v>202</v>
      </c>
      <c r="D976" s="2" t="s">
        <v>197</v>
      </c>
      <c r="E976" s="2" t="s">
        <v>580</v>
      </c>
      <c r="F976" s="139">
        <v>4</v>
      </c>
      <c r="G976" s="140">
        <v>0</v>
      </c>
      <c r="H976" s="140">
        <v>0</v>
      </c>
      <c r="I976" s="140">
        <v>0</v>
      </c>
      <c r="J976" s="140">
        <f t="shared" si="15"/>
        <v>4</v>
      </c>
      <c r="K976" s="3"/>
    </row>
    <row r="977" spans="1:11" x14ac:dyDescent="0.3">
      <c r="A977" s="4" t="s">
        <v>1379</v>
      </c>
      <c r="B977" s="138" t="s">
        <v>363</v>
      </c>
      <c r="C977" s="2" t="s">
        <v>198</v>
      </c>
      <c r="D977" s="2" t="s">
        <v>200</v>
      </c>
      <c r="E977" s="2" t="s">
        <v>450</v>
      </c>
      <c r="F977" s="139">
        <v>1</v>
      </c>
      <c r="G977" s="140">
        <v>0</v>
      </c>
      <c r="H977" s="140">
        <v>0</v>
      </c>
      <c r="I977" s="140">
        <v>0</v>
      </c>
      <c r="J977" s="140">
        <f t="shared" si="15"/>
        <v>1</v>
      </c>
      <c r="K977" s="3"/>
    </row>
    <row r="978" spans="1:11" x14ac:dyDescent="0.3">
      <c r="A978" s="4" t="s">
        <v>1380</v>
      </c>
      <c r="B978" s="138" t="s">
        <v>360</v>
      </c>
      <c r="C978" s="2" t="s">
        <v>188</v>
      </c>
      <c r="D978" s="2" t="s">
        <v>197</v>
      </c>
      <c r="E978" s="2" t="s">
        <v>862</v>
      </c>
      <c r="F978" s="139">
        <v>14</v>
      </c>
      <c r="G978" s="140">
        <v>0</v>
      </c>
      <c r="H978" s="140">
        <v>0</v>
      </c>
      <c r="I978" s="140">
        <v>0</v>
      </c>
      <c r="J978" s="140">
        <f t="shared" si="15"/>
        <v>14</v>
      </c>
      <c r="K978" s="3"/>
    </row>
    <row r="979" spans="1:11" x14ac:dyDescent="0.3">
      <c r="A979" s="4" t="s">
        <v>1381</v>
      </c>
      <c r="B979" s="138" t="s">
        <v>360</v>
      </c>
      <c r="C979" s="2" t="s">
        <v>202</v>
      </c>
      <c r="D979" s="2" t="s">
        <v>204</v>
      </c>
      <c r="E979" s="2" t="s">
        <v>366</v>
      </c>
      <c r="F979" s="139">
        <v>2</v>
      </c>
      <c r="G979" s="140">
        <v>0</v>
      </c>
      <c r="H979" s="140">
        <v>0</v>
      </c>
      <c r="I979" s="140">
        <v>0</v>
      </c>
      <c r="J979" s="140">
        <f t="shared" si="15"/>
        <v>2</v>
      </c>
      <c r="K979" s="3"/>
    </row>
    <row r="980" spans="1:11" x14ac:dyDescent="0.3">
      <c r="A980" s="4" t="s">
        <v>1382</v>
      </c>
      <c r="B980" s="138" t="s">
        <v>360</v>
      </c>
      <c r="C980" s="2" t="s">
        <v>202</v>
      </c>
      <c r="D980" s="2" t="s">
        <v>199</v>
      </c>
      <c r="E980" s="2" t="s">
        <v>459</v>
      </c>
      <c r="F980" s="139">
        <v>11</v>
      </c>
      <c r="G980" s="140">
        <v>0</v>
      </c>
      <c r="H980" s="140">
        <v>0</v>
      </c>
      <c r="I980" s="140">
        <v>17</v>
      </c>
      <c r="J980" s="140">
        <f t="shared" si="15"/>
        <v>28</v>
      </c>
      <c r="K980" s="3"/>
    </row>
    <row r="981" spans="1:11" x14ac:dyDescent="0.3">
      <c r="A981" s="4" t="s">
        <v>1383</v>
      </c>
      <c r="B981" s="138" t="s">
        <v>363</v>
      </c>
      <c r="C981" s="2" t="s">
        <v>206</v>
      </c>
      <c r="D981" s="2" t="s">
        <v>189</v>
      </c>
      <c r="E981" s="2" t="s">
        <v>541</v>
      </c>
      <c r="F981" s="139">
        <v>4</v>
      </c>
      <c r="G981" s="140">
        <v>8</v>
      </c>
      <c r="H981" s="140">
        <v>0</v>
      </c>
      <c r="I981" s="140">
        <v>0</v>
      </c>
      <c r="J981" s="140">
        <f t="shared" si="15"/>
        <v>12</v>
      </c>
      <c r="K981" s="3"/>
    </row>
    <row r="982" spans="1:11" x14ac:dyDescent="0.3">
      <c r="A982" s="4" t="s">
        <v>1384</v>
      </c>
      <c r="B982" s="138" t="s">
        <v>360</v>
      </c>
      <c r="C982" s="2" t="s">
        <v>202</v>
      </c>
      <c r="D982" s="2" t="s">
        <v>199</v>
      </c>
      <c r="E982" s="2" t="s">
        <v>393</v>
      </c>
      <c r="F982" s="139">
        <v>3</v>
      </c>
      <c r="G982" s="140">
        <v>16</v>
      </c>
      <c r="H982" s="140">
        <v>0</v>
      </c>
      <c r="I982" s="140">
        <v>0</v>
      </c>
      <c r="J982" s="140">
        <f t="shared" si="15"/>
        <v>19</v>
      </c>
      <c r="K982" s="3"/>
    </row>
    <row r="983" spans="1:11" x14ac:dyDescent="0.3">
      <c r="A983" s="4" t="s">
        <v>1385</v>
      </c>
      <c r="B983" s="138" t="s">
        <v>363</v>
      </c>
      <c r="C983" s="2" t="s">
        <v>208</v>
      </c>
      <c r="D983" s="2" t="s">
        <v>197</v>
      </c>
      <c r="E983" s="2" t="s">
        <v>439</v>
      </c>
      <c r="F983" s="139">
        <v>3</v>
      </c>
      <c r="G983" s="140">
        <v>0</v>
      </c>
      <c r="H983" s="140">
        <v>0</v>
      </c>
      <c r="I983" s="140">
        <v>0</v>
      </c>
      <c r="J983" s="140">
        <f t="shared" si="15"/>
        <v>3</v>
      </c>
      <c r="K983" s="3"/>
    </row>
    <row r="984" spans="1:11" x14ac:dyDescent="0.3">
      <c r="A984" s="4" t="s">
        <v>1386</v>
      </c>
      <c r="B984" s="138" t="s">
        <v>363</v>
      </c>
      <c r="C984" s="2" t="s">
        <v>208</v>
      </c>
      <c r="D984" s="2" t="s">
        <v>194</v>
      </c>
      <c r="E984" s="2" t="s">
        <v>434</v>
      </c>
      <c r="F984" s="139">
        <v>1</v>
      </c>
      <c r="G984" s="140">
        <v>9</v>
      </c>
      <c r="H984" s="140">
        <v>0</v>
      </c>
      <c r="I984" s="140">
        <v>0</v>
      </c>
      <c r="J984" s="140">
        <f t="shared" si="15"/>
        <v>10</v>
      </c>
      <c r="K984" s="3"/>
    </row>
    <row r="985" spans="1:11" x14ac:dyDescent="0.3">
      <c r="A985" s="4" t="s">
        <v>1387</v>
      </c>
      <c r="B985" s="138" t="s">
        <v>363</v>
      </c>
      <c r="C985" s="2" t="s">
        <v>206</v>
      </c>
      <c r="D985" s="2" t="s">
        <v>207</v>
      </c>
      <c r="E985" s="2" t="s">
        <v>443</v>
      </c>
      <c r="F985" s="139">
        <v>11</v>
      </c>
      <c r="G985" s="140">
        <v>0</v>
      </c>
      <c r="H985" s="140">
        <v>0</v>
      </c>
      <c r="I985" s="140">
        <v>23</v>
      </c>
      <c r="J985" s="140">
        <f t="shared" si="15"/>
        <v>34</v>
      </c>
      <c r="K985" s="3"/>
    </row>
    <row r="986" spans="1:11" x14ac:dyDescent="0.3">
      <c r="A986" s="4" t="s">
        <v>1388</v>
      </c>
      <c r="B986" s="138" t="s">
        <v>360</v>
      </c>
      <c r="C986" s="2" t="s">
        <v>202</v>
      </c>
      <c r="D986" s="2" t="s">
        <v>199</v>
      </c>
      <c r="E986" s="2" t="s">
        <v>393</v>
      </c>
      <c r="F986" s="139">
        <v>9</v>
      </c>
      <c r="G986" s="140">
        <v>0</v>
      </c>
      <c r="H986" s="140">
        <v>0</v>
      </c>
      <c r="I986" s="140">
        <v>0</v>
      </c>
      <c r="J986" s="140">
        <f t="shared" si="15"/>
        <v>9</v>
      </c>
      <c r="K986" s="3"/>
    </row>
    <row r="987" spans="1:11" x14ac:dyDescent="0.3">
      <c r="A987" s="4" t="s">
        <v>1389</v>
      </c>
      <c r="B987" s="138" t="s">
        <v>360</v>
      </c>
      <c r="C987" s="2" t="s">
        <v>188</v>
      </c>
      <c r="D987" s="2" t="s">
        <v>189</v>
      </c>
      <c r="E987" s="2" t="s">
        <v>421</v>
      </c>
      <c r="F987" s="139">
        <v>14</v>
      </c>
      <c r="G987" s="140">
        <v>0</v>
      </c>
      <c r="H987" s="140">
        <v>0</v>
      </c>
      <c r="I987" s="140">
        <v>12</v>
      </c>
      <c r="J987" s="140">
        <f t="shared" si="15"/>
        <v>26</v>
      </c>
      <c r="K987" s="3"/>
    </row>
    <row r="988" spans="1:11" x14ac:dyDescent="0.3">
      <c r="A988" s="4" t="s">
        <v>1390</v>
      </c>
      <c r="B988" s="138" t="s">
        <v>363</v>
      </c>
      <c r="C988" s="2" t="s">
        <v>198</v>
      </c>
      <c r="D988" s="2" t="s">
        <v>199</v>
      </c>
      <c r="E988" s="2" t="s">
        <v>380</v>
      </c>
      <c r="F988" s="139">
        <v>3</v>
      </c>
      <c r="G988" s="140">
        <v>0</v>
      </c>
      <c r="H988" s="140">
        <v>0</v>
      </c>
      <c r="I988" s="140">
        <v>0</v>
      </c>
      <c r="J988" s="140">
        <f t="shared" si="15"/>
        <v>3</v>
      </c>
      <c r="K988" s="3"/>
    </row>
    <row r="989" spans="1:11" x14ac:dyDescent="0.3">
      <c r="A989" s="4" t="s">
        <v>1391</v>
      </c>
      <c r="B989" s="138" t="s">
        <v>360</v>
      </c>
      <c r="C989" s="2" t="s">
        <v>202</v>
      </c>
      <c r="D989" s="2" t="s">
        <v>199</v>
      </c>
      <c r="E989" s="2" t="s">
        <v>393</v>
      </c>
      <c r="F989" s="139">
        <v>11</v>
      </c>
      <c r="G989" s="140">
        <v>0</v>
      </c>
      <c r="H989" s="140">
        <v>0</v>
      </c>
      <c r="I989" s="140">
        <v>7</v>
      </c>
      <c r="J989" s="140">
        <f t="shared" si="15"/>
        <v>18</v>
      </c>
      <c r="K989" s="3"/>
    </row>
    <row r="990" spans="1:11" x14ac:dyDescent="0.3">
      <c r="A990" s="4" t="s">
        <v>1392</v>
      </c>
      <c r="B990" s="138" t="s">
        <v>360</v>
      </c>
      <c r="C990" s="2" t="s">
        <v>209</v>
      </c>
      <c r="D990" s="2" t="s">
        <v>207</v>
      </c>
      <c r="E990" s="2" t="s">
        <v>374</v>
      </c>
      <c r="F990" s="139">
        <v>6</v>
      </c>
      <c r="G990" s="140">
        <v>0</v>
      </c>
      <c r="H990" s="140">
        <v>0</v>
      </c>
      <c r="I990" s="140">
        <v>0</v>
      </c>
      <c r="J990" s="140">
        <f t="shared" si="15"/>
        <v>6</v>
      </c>
      <c r="K990" s="3"/>
    </row>
    <row r="991" spans="1:11" x14ac:dyDescent="0.3">
      <c r="A991" s="4" t="s">
        <v>1393</v>
      </c>
      <c r="B991" s="138" t="s">
        <v>360</v>
      </c>
      <c r="C991" s="2" t="s">
        <v>202</v>
      </c>
      <c r="D991" s="2" t="s">
        <v>200</v>
      </c>
      <c r="E991" s="2" t="s">
        <v>707</v>
      </c>
      <c r="F991" s="139">
        <v>10</v>
      </c>
      <c r="G991" s="140">
        <v>0</v>
      </c>
      <c r="H991" s="140">
        <v>0</v>
      </c>
      <c r="I991" s="140">
        <v>0</v>
      </c>
      <c r="J991" s="140">
        <f t="shared" si="15"/>
        <v>10</v>
      </c>
      <c r="K991" s="3"/>
    </row>
    <row r="992" spans="1:11" x14ac:dyDescent="0.3">
      <c r="A992" s="4" t="s">
        <v>1394</v>
      </c>
      <c r="B992" s="138" t="s">
        <v>360</v>
      </c>
      <c r="C992" s="2" t="s">
        <v>188</v>
      </c>
      <c r="D992" s="2" t="s">
        <v>196</v>
      </c>
      <c r="E992" s="2" t="s">
        <v>395</v>
      </c>
      <c r="F992" s="139">
        <v>0</v>
      </c>
      <c r="G992" s="140">
        <v>0</v>
      </c>
      <c r="H992" s="140">
        <v>0</v>
      </c>
      <c r="I992" s="140">
        <v>0</v>
      </c>
      <c r="J992" s="140">
        <f t="shared" si="15"/>
        <v>0</v>
      </c>
      <c r="K992" s="3"/>
    </row>
    <row r="993" spans="1:11" x14ac:dyDescent="0.3">
      <c r="A993" s="4" t="s">
        <v>1395</v>
      </c>
      <c r="B993" s="138" t="s">
        <v>360</v>
      </c>
      <c r="C993" s="2" t="s">
        <v>202</v>
      </c>
      <c r="D993" s="2" t="s">
        <v>204</v>
      </c>
      <c r="E993" s="2" t="s">
        <v>361</v>
      </c>
      <c r="F993" s="139">
        <v>3</v>
      </c>
      <c r="G993" s="140">
        <v>0</v>
      </c>
      <c r="H993" s="140">
        <v>0</v>
      </c>
      <c r="I993" s="140">
        <v>0</v>
      </c>
      <c r="J993" s="140">
        <f t="shared" si="15"/>
        <v>3</v>
      </c>
      <c r="K993" s="3"/>
    </row>
    <row r="994" spans="1:11" x14ac:dyDescent="0.3">
      <c r="A994" s="4" t="s">
        <v>1396</v>
      </c>
      <c r="B994" s="138" t="s">
        <v>360</v>
      </c>
      <c r="C994" s="2" t="s">
        <v>202</v>
      </c>
      <c r="D994" s="2" t="s">
        <v>199</v>
      </c>
      <c r="E994" s="2" t="s">
        <v>454</v>
      </c>
      <c r="F994" s="139">
        <v>0</v>
      </c>
      <c r="G994" s="140">
        <v>0</v>
      </c>
      <c r="H994" s="140">
        <v>0</v>
      </c>
      <c r="I994" s="140">
        <v>0</v>
      </c>
      <c r="J994" s="140">
        <f t="shared" si="15"/>
        <v>0</v>
      </c>
      <c r="K994" s="3"/>
    </row>
    <row r="995" spans="1:11" x14ac:dyDescent="0.3">
      <c r="A995" s="4" t="s">
        <v>1397</v>
      </c>
      <c r="B995" s="138" t="s">
        <v>360</v>
      </c>
      <c r="C995" s="2" t="s">
        <v>188</v>
      </c>
      <c r="D995" s="2" t="s">
        <v>195</v>
      </c>
      <c r="E995" s="2" t="s">
        <v>447</v>
      </c>
      <c r="F995" s="139">
        <v>3</v>
      </c>
      <c r="G995" s="140">
        <v>0</v>
      </c>
      <c r="H995" s="140">
        <v>0</v>
      </c>
      <c r="I995" s="140">
        <v>0</v>
      </c>
      <c r="J995" s="140">
        <f t="shared" si="15"/>
        <v>3</v>
      </c>
      <c r="K995" s="3"/>
    </row>
    <row r="996" spans="1:11" x14ac:dyDescent="0.3">
      <c r="A996" s="4" t="s">
        <v>1398</v>
      </c>
      <c r="B996" s="138" t="s">
        <v>360</v>
      </c>
      <c r="C996" s="2" t="s">
        <v>202</v>
      </c>
      <c r="D996" s="2" t="s">
        <v>199</v>
      </c>
      <c r="E996" s="2" t="s">
        <v>454</v>
      </c>
      <c r="F996" s="139">
        <v>15</v>
      </c>
      <c r="G996" s="140">
        <v>0</v>
      </c>
      <c r="H996" s="140">
        <v>0</v>
      </c>
      <c r="I996" s="140">
        <v>2</v>
      </c>
      <c r="J996" s="140">
        <f t="shared" si="15"/>
        <v>17</v>
      </c>
      <c r="K996" s="3"/>
    </row>
    <row r="997" spans="1:11" x14ac:dyDescent="0.3">
      <c r="A997" s="4" t="s">
        <v>1399</v>
      </c>
      <c r="B997" s="138" t="s">
        <v>363</v>
      </c>
      <c r="C997" s="2" t="s">
        <v>198</v>
      </c>
      <c r="D997" s="2" t="s">
        <v>197</v>
      </c>
      <c r="E997" s="2" t="s">
        <v>409</v>
      </c>
      <c r="F997" s="139">
        <v>2</v>
      </c>
      <c r="G997" s="140">
        <v>0</v>
      </c>
      <c r="H997" s="140">
        <v>0</v>
      </c>
      <c r="I997" s="140">
        <v>0</v>
      </c>
      <c r="J997" s="140">
        <f t="shared" si="15"/>
        <v>2</v>
      </c>
      <c r="K997" s="3"/>
    </row>
    <row r="998" spans="1:11" x14ac:dyDescent="0.3">
      <c r="A998" s="4" t="s">
        <v>1400</v>
      </c>
      <c r="B998" s="138" t="s">
        <v>360</v>
      </c>
      <c r="C998" s="2" t="s">
        <v>188</v>
      </c>
      <c r="D998" s="2" t="s">
        <v>196</v>
      </c>
      <c r="E998" s="2" t="s">
        <v>423</v>
      </c>
      <c r="F998" s="139">
        <v>5</v>
      </c>
      <c r="G998" s="140">
        <v>0</v>
      </c>
      <c r="H998" s="140">
        <v>0</v>
      </c>
      <c r="I998" s="140">
        <v>0</v>
      </c>
      <c r="J998" s="140">
        <f t="shared" si="15"/>
        <v>5</v>
      </c>
      <c r="K998" s="3"/>
    </row>
    <row r="999" spans="1:11" x14ac:dyDescent="0.3">
      <c r="A999" s="4" t="s">
        <v>1401</v>
      </c>
      <c r="B999" s="138" t="s">
        <v>360</v>
      </c>
      <c r="C999" s="2" t="s">
        <v>202</v>
      </c>
      <c r="D999" s="2" t="s">
        <v>204</v>
      </c>
      <c r="E999" s="2" t="s">
        <v>389</v>
      </c>
      <c r="F999" s="139">
        <v>17</v>
      </c>
      <c r="G999" s="140">
        <v>0</v>
      </c>
      <c r="H999" s="140">
        <v>0</v>
      </c>
      <c r="I999" s="140">
        <v>0</v>
      </c>
      <c r="J999" s="140">
        <f t="shared" si="15"/>
        <v>17</v>
      </c>
      <c r="K999" s="3"/>
    </row>
    <row r="1000" spans="1:11" x14ac:dyDescent="0.3">
      <c r="A1000" s="4" t="s">
        <v>1402</v>
      </c>
      <c r="B1000" s="138" t="s">
        <v>363</v>
      </c>
      <c r="C1000" s="2" t="s">
        <v>198</v>
      </c>
      <c r="D1000" s="2" t="s">
        <v>200</v>
      </c>
      <c r="E1000" s="2" t="s">
        <v>450</v>
      </c>
      <c r="F1000" s="139">
        <v>11</v>
      </c>
      <c r="G1000" s="140">
        <v>0</v>
      </c>
      <c r="H1000" s="140">
        <v>0</v>
      </c>
      <c r="I1000" s="140">
        <v>0</v>
      </c>
      <c r="J1000" s="140">
        <f t="shared" si="15"/>
        <v>11</v>
      </c>
      <c r="K1000" s="3"/>
    </row>
    <row r="1001" spans="1:11" x14ac:dyDescent="0.3">
      <c r="A1001" s="4" t="s">
        <v>1403</v>
      </c>
      <c r="B1001" s="138" t="s">
        <v>360</v>
      </c>
      <c r="C1001" s="2" t="s">
        <v>202</v>
      </c>
      <c r="D1001" s="2" t="s">
        <v>204</v>
      </c>
      <c r="E1001" s="2" t="s">
        <v>391</v>
      </c>
      <c r="F1001" s="139">
        <v>17</v>
      </c>
      <c r="G1001" s="140">
        <v>0</v>
      </c>
      <c r="H1001" s="140">
        <v>0</v>
      </c>
      <c r="I1001" s="140">
        <v>17</v>
      </c>
      <c r="J1001" s="140">
        <f t="shared" si="15"/>
        <v>34</v>
      </c>
      <c r="K1001" s="3"/>
    </row>
    <row r="1002" spans="1:11" x14ac:dyDescent="0.3">
      <c r="A1002" s="4" t="s">
        <v>1404</v>
      </c>
      <c r="B1002" s="138" t="s">
        <v>360</v>
      </c>
      <c r="C1002" s="2" t="s">
        <v>202</v>
      </c>
      <c r="D1002" s="2" t="s">
        <v>199</v>
      </c>
      <c r="E1002" s="2" t="s">
        <v>393</v>
      </c>
      <c r="F1002" s="139">
        <v>3</v>
      </c>
      <c r="G1002" s="140">
        <v>0</v>
      </c>
      <c r="H1002" s="140">
        <v>0</v>
      </c>
      <c r="I1002" s="140">
        <v>0</v>
      </c>
      <c r="J1002" s="140">
        <f t="shared" si="15"/>
        <v>3</v>
      </c>
      <c r="K1002" s="3"/>
    </row>
    <row r="1003" spans="1:11" x14ac:dyDescent="0.3">
      <c r="A1003" s="4" t="s">
        <v>1405</v>
      </c>
      <c r="B1003" s="138" t="s">
        <v>360</v>
      </c>
      <c r="C1003" s="2" t="s">
        <v>202</v>
      </c>
      <c r="D1003" s="2" t="s">
        <v>200</v>
      </c>
      <c r="E1003" s="2" t="s">
        <v>707</v>
      </c>
      <c r="F1003" s="139">
        <v>13</v>
      </c>
      <c r="G1003" s="140">
        <v>0</v>
      </c>
      <c r="H1003" s="140">
        <v>0</v>
      </c>
      <c r="I1003" s="140">
        <v>0</v>
      </c>
      <c r="J1003" s="140">
        <f t="shared" si="15"/>
        <v>13</v>
      </c>
      <c r="K1003" s="3"/>
    </row>
    <row r="1004" spans="1:11" x14ac:dyDescent="0.3">
      <c r="A1004" s="4" t="s">
        <v>1406</v>
      </c>
      <c r="B1004" s="138" t="s">
        <v>360</v>
      </c>
      <c r="C1004" s="2" t="s">
        <v>188</v>
      </c>
      <c r="D1004" s="2" t="s">
        <v>194</v>
      </c>
      <c r="E1004" s="2" t="s">
        <v>488</v>
      </c>
      <c r="F1004" s="139">
        <v>15</v>
      </c>
      <c r="G1004" s="140">
        <v>0</v>
      </c>
      <c r="H1004" s="140">
        <v>0</v>
      </c>
      <c r="I1004" s="140">
        <v>0</v>
      </c>
      <c r="J1004" s="140">
        <f t="shared" si="15"/>
        <v>15</v>
      </c>
      <c r="K1004" s="3"/>
    </row>
    <row r="1005" spans="1:11" x14ac:dyDescent="0.3">
      <c r="A1005" s="4" t="s">
        <v>1407</v>
      </c>
      <c r="B1005" s="138" t="s">
        <v>363</v>
      </c>
      <c r="C1005" s="2" t="s">
        <v>206</v>
      </c>
      <c r="D1005" s="2" t="s">
        <v>197</v>
      </c>
      <c r="E1005" s="2" t="s">
        <v>637</v>
      </c>
      <c r="F1005" s="139">
        <v>17</v>
      </c>
      <c r="G1005" s="140">
        <v>0</v>
      </c>
      <c r="H1005" s="140">
        <v>0</v>
      </c>
      <c r="I1005" s="140">
        <v>0</v>
      </c>
      <c r="J1005" s="140">
        <f t="shared" si="15"/>
        <v>17</v>
      </c>
      <c r="K1005" s="3"/>
    </row>
    <row r="1006" spans="1:11" x14ac:dyDescent="0.3">
      <c r="A1006" s="4" t="s">
        <v>1408</v>
      </c>
      <c r="B1006" s="138" t="s">
        <v>360</v>
      </c>
      <c r="C1006" s="2" t="s">
        <v>202</v>
      </c>
      <c r="D1006" s="2" t="s">
        <v>199</v>
      </c>
      <c r="E1006" s="2" t="s">
        <v>393</v>
      </c>
      <c r="F1006" s="139">
        <v>6</v>
      </c>
      <c r="G1006" s="140">
        <v>0</v>
      </c>
      <c r="H1006" s="140">
        <v>0</v>
      </c>
      <c r="I1006" s="140">
        <v>0</v>
      </c>
      <c r="J1006" s="140">
        <f t="shared" si="15"/>
        <v>6</v>
      </c>
      <c r="K1006" s="3"/>
    </row>
    <row r="1007" spans="1:11" x14ac:dyDescent="0.3">
      <c r="A1007" s="4" t="s">
        <v>1409</v>
      </c>
      <c r="B1007" s="138" t="s">
        <v>478</v>
      </c>
      <c r="C1007" s="127" t="s">
        <v>205</v>
      </c>
      <c r="D1007" s="2" t="s">
        <v>189</v>
      </c>
      <c r="E1007" s="2" t="s">
        <v>498</v>
      </c>
      <c r="F1007" s="139">
        <v>9</v>
      </c>
      <c r="G1007" s="140">
        <v>0</v>
      </c>
      <c r="H1007" s="140">
        <v>0</v>
      </c>
      <c r="I1007" s="140">
        <v>0</v>
      </c>
      <c r="J1007" s="140">
        <f t="shared" si="15"/>
        <v>9</v>
      </c>
      <c r="K1007" s="3"/>
    </row>
    <row r="1008" spans="1:11" x14ac:dyDescent="0.3">
      <c r="A1008" s="4" t="s">
        <v>1410</v>
      </c>
      <c r="B1008" s="138" t="s">
        <v>360</v>
      </c>
      <c r="C1008" s="2" t="s">
        <v>202</v>
      </c>
      <c r="D1008" s="2" t="s">
        <v>204</v>
      </c>
      <c r="E1008" s="2" t="s">
        <v>471</v>
      </c>
      <c r="F1008" s="139">
        <v>3</v>
      </c>
      <c r="G1008" s="140">
        <v>0</v>
      </c>
      <c r="H1008" s="140">
        <v>0</v>
      </c>
      <c r="I1008" s="140">
        <v>0</v>
      </c>
      <c r="J1008" s="140">
        <f t="shared" si="15"/>
        <v>3</v>
      </c>
      <c r="K1008" s="3"/>
    </row>
    <row r="1009" spans="1:11" x14ac:dyDescent="0.3">
      <c r="A1009" s="4" t="s">
        <v>1411</v>
      </c>
      <c r="B1009" s="138" t="s">
        <v>360</v>
      </c>
      <c r="C1009" s="2" t="s">
        <v>202</v>
      </c>
      <c r="D1009" s="2" t="s">
        <v>204</v>
      </c>
      <c r="E1009" s="2" t="s">
        <v>412</v>
      </c>
      <c r="F1009" s="139">
        <v>0</v>
      </c>
      <c r="G1009" s="140">
        <v>0</v>
      </c>
      <c r="H1009" s="140">
        <v>0</v>
      </c>
      <c r="I1009" s="140">
        <v>0</v>
      </c>
      <c r="J1009" s="140">
        <f t="shared" si="15"/>
        <v>0</v>
      </c>
      <c r="K1009" s="3"/>
    </row>
    <row r="1010" spans="1:11" x14ac:dyDescent="0.3">
      <c r="A1010" s="4" t="s">
        <v>1412</v>
      </c>
      <c r="B1010" s="138" t="s">
        <v>360</v>
      </c>
      <c r="C1010" s="2" t="s">
        <v>188</v>
      </c>
      <c r="D1010" s="2" t="s">
        <v>189</v>
      </c>
      <c r="E1010" s="2" t="s">
        <v>376</v>
      </c>
      <c r="F1010" s="139">
        <v>7</v>
      </c>
      <c r="G1010" s="140">
        <v>0</v>
      </c>
      <c r="H1010" s="140">
        <v>0</v>
      </c>
      <c r="I1010" s="140">
        <v>0</v>
      </c>
      <c r="J1010" s="140">
        <f t="shared" si="15"/>
        <v>7</v>
      </c>
      <c r="K1010" s="3"/>
    </row>
    <row r="1011" spans="1:11" x14ac:dyDescent="0.3">
      <c r="A1011" s="4" t="s">
        <v>1413</v>
      </c>
      <c r="B1011" s="138" t="s">
        <v>360</v>
      </c>
      <c r="C1011" s="2" t="s">
        <v>188</v>
      </c>
      <c r="D1011" s="2" t="s">
        <v>196</v>
      </c>
      <c r="E1011" s="2" t="s">
        <v>423</v>
      </c>
      <c r="F1011" s="139">
        <v>15</v>
      </c>
      <c r="G1011" s="140">
        <v>0</v>
      </c>
      <c r="H1011" s="140">
        <v>0</v>
      </c>
      <c r="I1011" s="140">
        <v>3</v>
      </c>
      <c r="J1011" s="140">
        <f t="shared" si="15"/>
        <v>18</v>
      </c>
      <c r="K1011" s="3"/>
    </row>
    <row r="1012" spans="1:11" x14ac:dyDescent="0.3">
      <c r="A1012" s="4" t="s">
        <v>1414</v>
      </c>
      <c r="B1012" s="138" t="s">
        <v>360</v>
      </c>
      <c r="C1012" s="2" t="s">
        <v>202</v>
      </c>
      <c r="D1012" s="2" t="s">
        <v>199</v>
      </c>
      <c r="E1012" s="2" t="s">
        <v>384</v>
      </c>
      <c r="F1012" s="139">
        <v>3</v>
      </c>
      <c r="G1012" s="140">
        <v>0</v>
      </c>
      <c r="H1012" s="140">
        <v>0</v>
      </c>
      <c r="I1012" s="140">
        <v>0</v>
      </c>
      <c r="J1012" s="140">
        <f t="shared" si="15"/>
        <v>3</v>
      </c>
      <c r="K1012" s="3"/>
    </row>
    <row r="1013" spans="1:11" x14ac:dyDescent="0.3">
      <c r="A1013" s="4" t="s">
        <v>1415</v>
      </c>
      <c r="B1013" s="138" t="s">
        <v>478</v>
      </c>
      <c r="C1013" s="127" t="s">
        <v>205</v>
      </c>
      <c r="D1013" s="2" t="s">
        <v>196</v>
      </c>
      <c r="E1013" s="2" t="s">
        <v>479</v>
      </c>
      <c r="F1013" s="139">
        <v>15</v>
      </c>
      <c r="G1013" s="140">
        <v>0</v>
      </c>
      <c r="H1013" s="140">
        <v>0</v>
      </c>
      <c r="I1013" s="140">
        <v>0</v>
      </c>
      <c r="J1013" s="140">
        <f t="shared" si="15"/>
        <v>15</v>
      </c>
      <c r="K1013" s="3"/>
    </row>
    <row r="1014" spans="1:11" x14ac:dyDescent="0.3">
      <c r="A1014" s="4" t="s">
        <v>1416</v>
      </c>
      <c r="B1014" s="138" t="s">
        <v>360</v>
      </c>
      <c r="C1014" s="2" t="s">
        <v>202</v>
      </c>
      <c r="D1014" s="2" t="s">
        <v>194</v>
      </c>
      <c r="E1014" s="2" t="s">
        <v>488</v>
      </c>
      <c r="F1014" s="139">
        <v>17</v>
      </c>
      <c r="G1014" s="140">
        <v>0</v>
      </c>
      <c r="H1014" s="140">
        <v>0</v>
      </c>
      <c r="I1014" s="140">
        <v>12</v>
      </c>
      <c r="J1014" s="140">
        <f t="shared" si="15"/>
        <v>29</v>
      </c>
      <c r="K1014" s="3"/>
    </row>
    <row r="1015" spans="1:11" x14ac:dyDescent="0.3">
      <c r="A1015" s="4" t="s">
        <v>1417</v>
      </c>
      <c r="B1015" s="138" t="s">
        <v>363</v>
      </c>
      <c r="C1015" s="2" t="s">
        <v>206</v>
      </c>
      <c r="D1015" s="2" t="s">
        <v>189</v>
      </c>
      <c r="E1015" s="2" t="s">
        <v>397</v>
      </c>
      <c r="F1015" s="139">
        <v>17</v>
      </c>
      <c r="G1015" s="140">
        <v>2</v>
      </c>
      <c r="H1015" s="140">
        <v>0</v>
      </c>
      <c r="I1015" s="140">
        <v>18</v>
      </c>
      <c r="J1015" s="140">
        <f t="shared" si="15"/>
        <v>37</v>
      </c>
      <c r="K1015" s="3"/>
    </row>
    <row r="1016" spans="1:11" x14ac:dyDescent="0.3">
      <c r="A1016" s="4" t="s">
        <v>1418</v>
      </c>
      <c r="B1016" s="138" t="s">
        <v>360</v>
      </c>
      <c r="C1016" s="2" t="s">
        <v>202</v>
      </c>
      <c r="D1016" s="2" t="s">
        <v>200</v>
      </c>
      <c r="E1016" s="2" t="s">
        <v>417</v>
      </c>
      <c r="F1016" s="139">
        <v>0</v>
      </c>
      <c r="G1016" s="140">
        <v>6</v>
      </c>
      <c r="H1016" s="140">
        <v>0</v>
      </c>
      <c r="I1016" s="140">
        <v>0</v>
      </c>
      <c r="J1016" s="140">
        <f t="shared" si="15"/>
        <v>6</v>
      </c>
      <c r="K1016" s="3"/>
    </row>
    <row r="1017" spans="1:11" x14ac:dyDescent="0.3">
      <c r="A1017" s="4" t="s">
        <v>1419</v>
      </c>
      <c r="B1017" s="138" t="s">
        <v>360</v>
      </c>
      <c r="C1017" s="2" t="s">
        <v>202</v>
      </c>
      <c r="D1017" s="2" t="s">
        <v>200</v>
      </c>
      <c r="E1017" s="2" t="s">
        <v>417</v>
      </c>
      <c r="F1017" s="139">
        <v>6</v>
      </c>
      <c r="G1017" s="140">
        <v>0</v>
      </c>
      <c r="H1017" s="140">
        <v>0</v>
      </c>
      <c r="I1017" s="140">
        <v>0</v>
      </c>
      <c r="J1017" s="140">
        <f t="shared" si="15"/>
        <v>6</v>
      </c>
      <c r="K1017" s="3"/>
    </row>
    <row r="1018" spans="1:11" x14ac:dyDescent="0.3">
      <c r="A1018" s="4" t="s">
        <v>1420</v>
      </c>
      <c r="B1018" s="138" t="s">
        <v>360</v>
      </c>
      <c r="C1018" s="2" t="s">
        <v>202</v>
      </c>
      <c r="D1018" s="2" t="s">
        <v>204</v>
      </c>
      <c r="E1018" s="2" t="s">
        <v>419</v>
      </c>
      <c r="F1018" s="139">
        <v>2</v>
      </c>
      <c r="G1018" s="140">
        <v>4</v>
      </c>
      <c r="H1018" s="140">
        <v>0</v>
      </c>
      <c r="I1018" s="140">
        <v>0</v>
      </c>
      <c r="J1018" s="140">
        <f t="shared" si="15"/>
        <v>6</v>
      </c>
      <c r="K1018" s="3"/>
    </row>
    <row r="1019" spans="1:11" x14ac:dyDescent="0.3">
      <c r="A1019" s="4" t="s">
        <v>1421</v>
      </c>
      <c r="B1019" s="138" t="s">
        <v>360</v>
      </c>
      <c r="C1019" s="2" t="s">
        <v>202</v>
      </c>
      <c r="D1019" s="2" t="s">
        <v>199</v>
      </c>
      <c r="E1019" s="2" t="s">
        <v>378</v>
      </c>
      <c r="F1019" s="139">
        <v>11</v>
      </c>
      <c r="G1019" s="140">
        <v>0</v>
      </c>
      <c r="H1019" s="140">
        <v>0</v>
      </c>
      <c r="I1019" s="140">
        <v>2</v>
      </c>
      <c r="J1019" s="140">
        <f t="shared" si="15"/>
        <v>13</v>
      </c>
      <c r="K1019" s="3"/>
    </row>
    <row r="1020" spans="1:11" x14ac:dyDescent="0.3">
      <c r="A1020" s="4" t="s">
        <v>271</v>
      </c>
      <c r="B1020" s="138" t="s">
        <v>363</v>
      </c>
      <c r="C1020" s="2" t="s">
        <v>198</v>
      </c>
      <c r="D1020" s="2" t="s">
        <v>199</v>
      </c>
      <c r="E1020" s="2" t="s">
        <v>432</v>
      </c>
      <c r="F1020" s="139">
        <v>9</v>
      </c>
      <c r="G1020" s="140">
        <v>0</v>
      </c>
      <c r="H1020" s="140">
        <v>0</v>
      </c>
      <c r="I1020" s="140">
        <v>0</v>
      </c>
      <c r="J1020" s="140">
        <f t="shared" si="15"/>
        <v>9</v>
      </c>
      <c r="K1020" s="3"/>
    </row>
    <row r="1021" spans="1:11" x14ac:dyDescent="0.3">
      <c r="A1021" s="4" t="s">
        <v>1422</v>
      </c>
      <c r="B1021" s="138" t="s">
        <v>363</v>
      </c>
      <c r="C1021" s="2" t="s">
        <v>198</v>
      </c>
      <c r="D1021" s="2" t="s">
        <v>199</v>
      </c>
      <c r="E1021" s="2" t="s">
        <v>432</v>
      </c>
      <c r="F1021" s="139">
        <v>1</v>
      </c>
      <c r="G1021" s="140">
        <v>0</v>
      </c>
      <c r="H1021" s="140">
        <v>0</v>
      </c>
      <c r="I1021" s="140">
        <v>0</v>
      </c>
      <c r="J1021" s="140">
        <f t="shared" si="15"/>
        <v>1</v>
      </c>
      <c r="K1021" s="3"/>
    </row>
    <row r="1022" spans="1:11" x14ac:dyDescent="0.3">
      <c r="A1022" s="4" t="s">
        <v>1423</v>
      </c>
      <c r="B1022" s="138" t="s">
        <v>363</v>
      </c>
      <c r="C1022" s="2" t="s">
        <v>198</v>
      </c>
      <c r="D1022" s="2" t="s">
        <v>200</v>
      </c>
      <c r="E1022" s="2" t="s">
        <v>450</v>
      </c>
      <c r="F1022" s="139">
        <v>4</v>
      </c>
      <c r="G1022" s="140">
        <v>0</v>
      </c>
      <c r="H1022" s="140">
        <v>0</v>
      </c>
      <c r="I1022" s="140">
        <v>0</v>
      </c>
      <c r="J1022" s="140">
        <f t="shared" si="15"/>
        <v>4</v>
      </c>
      <c r="K1022" s="3"/>
    </row>
    <row r="1023" spans="1:11" x14ac:dyDescent="0.3">
      <c r="A1023" s="4" t="s">
        <v>1424</v>
      </c>
      <c r="B1023" s="138" t="s">
        <v>363</v>
      </c>
      <c r="C1023" s="2" t="s">
        <v>198</v>
      </c>
      <c r="D1023" s="2" t="s">
        <v>199</v>
      </c>
      <c r="E1023" s="2" t="s">
        <v>364</v>
      </c>
      <c r="F1023" s="139">
        <v>1</v>
      </c>
      <c r="G1023" s="140">
        <v>20</v>
      </c>
      <c r="H1023" s="140">
        <v>0</v>
      </c>
      <c r="I1023" s="140">
        <v>0</v>
      </c>
      <c r="J1023" s="140">
        <f t="shared" si="15"/>
        <v>21</v>
      </c>
      <c r="K1023" s="3"/>
    </row>
    <row r="1024" spans="1:11" x14ac:dyDescent="0.3">
      <c r="A1024" s="4" t="s">
        <v>1425</v>
      </c>
      <c r="B1024" s="138" t="s">
        <v>360</v>
      </c>
      <c r="C1024" s="2" t="s">
        <v>202</v>
      </c>
      <c r="D1024" s="2" t="s">
        <v>199</v>
      </c>
      <c r="E1024" s="2" t="s">
        <v>428</v>
      </c>
      <c r="F1024" s="139">
        <v>7</v>
      </c>
      <c r="G1024" s="140">
        <v>0</v>
      </c>
      <c r="H1024" s="140">
        <v>0</v>
      </c>
      <c r="I1024" s="140">
        <v>0</v>
      </c>
      <c r="J1024" s="140">
        <f t="shared" si="15"/>
        <v>7</v>
      </c>
      <c r="K1024" s="3"/>
    </row>
    <row r="1025" spans="1:11" x14ac:dyDescent="0.3">
      <c r="A1025" s="4" t="s">
        <v>1426</v>
      </c>
      <c r="B1025" s="138" t="s">
        <v>360</v>
      </c>
      <c r="C1025" s="2" t="s">
        <v>202</v>
      </c>
      <c r="D1025" s="2" t="s">
        <v>199</v>
      </c>
      <c r="E1025" s="2" t="s">
        <v>473</v>
      </c>
      <c r="F1025" s="139">
        <v>12</v>
      </c>
      <c r="G1025" s="140">
        <v>0</v>
      </c>
      <c r="H1025" s="140">
        <v>0</v>
      </c>
      <c r="I1025" s="140">
        <v>0</v>
      </c>
      <c r="J1025" s="140">
        <f t="shared" si="15"/>
        <v>12</v>
      </c>
      <c r="K1025" s="3"/>
    </row>
    <row r="1026" spans="1:11" x14ac:dyDescent="0.3">
      <c r="A1026" s="4" t="s">
        <v>1427</v>
      </c>
      <c r="B1026" s="138" t="s">
        <v>360</v>
      </c>
      <c r="C1026" s="2" t="s">
        <v>202</v>
      </c>
      <c r="D1026" s="2" t="s">
        <v>204</v>
      </c>
      <c r="E1026" s="2" t="s">
        <v>391</v>
      </c>
      <c r="F1026" s="139">
        <v>3</v>
      </c>
      <c r="G1026" s="140">
        <v>0</v>
      </c>
      <c r="H1026" s="140">
        <v>0</v>
      </c>
      <c r="I1026" s="140">
        <v>0</v>
      </c>
      <c r="J1026" s="140">
        <f t="shared" si="15"/>
        <v>3</v>
      </c>
      <c r="K1026" s="3"/>
    </row>
    <row r="1027" spans="1:11" x14ac:dyDescent="0.3">
      <c r="A1027" s="4" t="s">
        <v>1428</v>
      </c>
      <c r="B1027" s="138" t="s">
        <v>363</v>
      </c>
      <c r="C1027" s="2" t="s">
        <v>198</v>
      </c>
      <c r="D1027" s="2" t="s">
        <v>200</v>
      </c>
      <c r="E1027" s="2" t="s">
        <v>372</v>
      </c>
      <c r="F1027" s="139">
        <v>6</v>
      </c>
      <c r="G1027" s="140">
        <v>0</v>
      </c>
      <c r="H1027" s="140">
        <v>0</v>
      </c>
      <c r="I1027" s="140">
        <v>0</v>
      </c>
      <c r="J1027" s="140">
        <f t="shared" si="15"/>
        <v>6</v>
      </c>
      <c r="K1027" s="3"/>
    </row>
    <row r="1028" spans="1:11" x14ac:dyDescent="0.3">
      <c r="A1028" s="4" t="s">
        <v>1429</v>
      </c>
      <c r="B1028" s="138" t="s">
        <v>363</v>
      </c>
      <c r="C1028" s="2" t="s">
        <v>206</v>
      </c>
      <c r="D1028" s="2" t="s">
        <v>189</v>
      </c>
      <c r="E1028" s="2" t="s">
        <v>541</v>
      </c>
      <c r="F1028" s="139">
        <v>15</v>
      </c>
      <c r="G1028" s="140">
        <v>0</v>
      </c>
      <c r="H1028" s="140">
        <v>0</v>
      </c>
      <c r="I1028" s="140">
        <v>0</v>
      </c>
      <c r="J1028" s="140">
        <f t="shared" si="15"/>
        <v>15</v>
      </c>
      <c r="K1028" s="3"/>
    </row>
    <row r="1029" spans="1:11" x14ac:dyDescent="0.3">
      <c r="A1029" s="4" t="s">
        <v>1430</v>
      </c>
      <c r="B1029" s="138" t="s">
        <v>360</v>
      </c>
      <c r="C1029" s="2" t="s">
        <v>202</v>
      </c>
      <c r="D1029" s="2" t="s">
        <v>204</v>
      </c>
      <c r="E1029" s="2" t="s">
        <v>389</v>
      </c>
      <c r="F1029" s="139">
        <v>0</v>
      </c>
      <c r="G1029" s="140">
        <v>5</v>
      </c>
      <c r="H1029" s="140">
        <v>0</v>
      </c>
      <c r="I1029" s="140">
        <v>0</v>
      </c>
      <c r="J1029" s="140">
        <f t="shared" ref="J1029:J1075" si="16">SUM(F1029:I1029)</f>
        <v>5</v>
      </c>
      <c r="K1029" s="3"/>
    </row>
    <row r="1030" spans="1:11" x14ac:dyDescent="0.3">
      <c r="A1030" s="4" t="s">
        <v>1431</v>
      </c>
      <c r="B1030" s="138" t="s">
        <v>360</v>
      </c>
      <c r="C1030" s="2" t="s">
        <v>202</v>
      </c>
      <c r="D1030" s="2" t="s">
        <v>194</v>
      </c>
      <c r="E1030" s="2" t="s">
        <v>488</v>
      </c>
      <c r="F1030" s="139">
        <v>1</v>
      </c>
      <c r="G1030" s="140">
        <v>0</v>
      </c>
      <c r="H1030" s="140">
        <v>0</v>
      </c>
      <c r="I1030" s="140">
        <v>0</v>
      </c>
      <c r="J1030" s="140">
        <f t="shared" si="16"/>
        <v>1</v>
      </c>
      <c r="K1030" s="3"/>
    </row>
    <row r="1031" spans="1:11" x14ac:dyDescent="0.3">
      <c r="A1031" s="4" t="s">
        <v>1432</v>
      </c>
      <c r="B1031" s="138" t="s">
        <v>363</v>
      </c>
      <c r="C1031" s="2" t="s">
        <v>198</v>
      </c>
      <c r="D1031" s="2" t="s">
        <v>200</v>
      </c>
      <c r="E1031" s="2" t="s">
        <v>450</v>
      </c>
      <c r="F1031" s="139">
        <v>0</v>
      </c>
      <c r="G1031" s="140">
        <v>0</v>
      </c>
      <c r="H1031" s="140">
        <v>0</v>
      </c>
      <c r="I1031" s="140">
        <v>0</v>
      </c>
      <c r="J1031" s="140">
        <f t="shared" si="16"/>
        <v>0</v>
      </c>
      <c r="K1031" s="3"/>
    </row>
    <row r="1032" spans="1:11" x14ac:dyDescent="0.3">
      <c r="A1032" s="4" t="s">
        <v>1433</v>
      </c>
      <c r="B1032" s="138" t="s">
        <v>360</v>
      </c>
      <c r="C1032" s="2" t="s">
        <v>202</v>
      </c>
      <c r="D1032" s="2" t="s">
        <v>204</v>
      </c>
      <c r="E1032" s="2" t="s">
        <v>471</v>
      </c>
      <c r="F1032" s="139">
        <v>2</v>
      </c>
      <c r="G1032" s="140">
        <v>21</v>
      </c>
      <c r="H1032" s="140">
        <v>0</v>
      </c>
      <c r="I1032" s="140">
        <v>0</v>
      </c>
      <c r="J1032" s="140">
        <f t="shared" si="16"/>
        <v>23</v>
      </c>
      <c r="K1032" s="3"/>
    </row>
    <row r="1033" spans="1:11" x14ac:dyDescent="0.3">
      <c r="A1033" s="4" t="s">
        <v>1434</v>
      </c>
      <c r="B1033" s="138" t="s">
        <v>363</v>
      </c>
      <c r="C1033" s="2" t="s">
        <v>208</v>
      </c>
      <c r="D1033" s="2" t="s">
        <v>197</v>
      </c>
      <c r="E1033" s="2" t="s">
        <v>439</v>
      </c>
      <c r="F1033" s="139">
        <v>13</v>
      </c>
      <c r="G1033" s="140">
        <v>0</v>
      </c>
      <c r="H1033" s="140">
        <v>0</v>
      </c>
      <c r="I1033" s="140">
        <v>9</v>
      </c>
      <c r="J1033" s="140">
        <f t="shared" si="16"/>
        <v>22</v>
      </c>
      <c r="K1033" s="3"/>
    </row>
    <row r="1034" spans="1:11" x14ac:dyDescent="0.3">
      <c r="A1034" s="4" t="s">
        <v>1435</v>
      </c>
      <c r="B1034" s="138" t="s">
        <v>360</v>
      </c>
      <c r="C1034" s="2" t="s">
        <v>202</v>
      </c>
      <c r="D1034" s="2" t="s">
        <v>194</v>
      </c>
      <c r="E1034" s="2" t="s">
        <v>488</v>
      </c>
      <c r="F1034" s="139">
        <v>10</v>
      </c>
      <c r="G1034" s="140">
        <v>0</v>
      </c>
      <c r="H1034" s="140">
        <v>0</v>
      </c>
      <c r="I1034" s="140">
        <v>0</v>
      </c>
      <c r="J1034" s="140">
        <f t="shared" si="16"/>
        <v>10</v>
      </c>
      <c r="K1034" s="3"/>
    </row>
    <row r="1035" spans="1:11" x14ac:dyDescent="0.3">
      <c r="A1035" s="4" t="s">
        <v>1436</v>
      </c>
      <c r="B1035" s="138" t="s">
        <v>360</v>
      </c>
      <c r="C1035" s="2" t="s">
        <v>202</v>
      </c>
      <c r="D1035" s="2" t="s">
        <v>199</v>
      </c>
      <c r="E1035" s="2" t="s">
        <v>384</v>
      </c>
      <c r="F1035" s="139">
        <v>2</v>
      </c>
      <c r="G1035" s="140">
        <v>3</v>
      </c>
      <c r="H1035" s="140">
        <v>0</v>
      </c>
      <c r="I1035" s="140">
        <v>0</v>
      </c>
      <c r="J1035" s="140">
        <f t="shared" si="16"/>
        <v>5</v>
      </c>
      <c r="K1035" s="3"/>
    </row>
    <row r="1036" spans="1:11" x14ac:dyDescent="0.3">
      <c r="A1036" s="4" t="s">
        <v>1437</v>
      </c>
      <c r="B1036" s="138" t="s">
        <v>360</v>
      </c>
      <c r="C1036" s="2" t="s">
        <v>202</v>
      </c>
      <c r="D1036" s="2" t="s">
        <v>197</v>
      </c>
      <c r="E1036" s="2" t="s">
        <v>580</v>
      </c>
      <c r="F1036" s="139">
        <v>2</v>
      </c>
      <c r="G1036" s="140">
        <v>0</v>
      </c>
      <c r="H1036" s="140">
        <v>0</v>
      </c>
      <c r="I1036" s="140">
        <v>0</v>
      </c>
      <c r="J1036" s="140">
        <f t="shared" si="16"/>
        <v>2</v>
      </c>
      <c r="K1036" s="3"/>
    </row>
    <row r="1037" spans="1:11" x14ac:dyDescent="0.3">
      <c r="A1037" s="4" t="s">
        <v>1438</v>
      </c>
      <c r="B1037" s="138" t="s">
        <v>363</v>
      </c>
      <c r="C1037" s="2" t="s">
        <v>198</v>
      </c>
      <c r="D1037" s="2" t="s">
        <v>199</v>
      </c>
      <c r="E1037" s="2" t="s">
        <v>432</v>
      </c>
      <c r="F1037" s="139">
        <v>5</v>
      </c>
      <c r="G1037" s="140">
        <v>0</v>
      </c>
      <c r="H1037" s="140">
        <v>0</v>
      </c>
      <c r="I1037" s="140">
        <v>0</v>
      </c>
      <c r="J1037" s="140">
        <f t="shared" si="16"/>
        <v>5</v>
      </c>
      <c r="K1037" s="3"/>
    </row>
    <row r="1038" spans="1:11" x14ac:dyDescent="0.3">
      <c r="A1038" s="4" t="s">
        <v>1439</v>
      </c>
      <c r="B1038" s="138" t="s">
        <v>360</v>
      </c>
      <c r="C1038" s="2" t="s">
        <v>202</v>
      </c>
      <c r="D1038" s="2" t="s">
        <v>204</v>
      </c>
      <c r="E1038" s="2" t="s">
        <v>457</v>
      </c>
      <c r="F1038" s="139">
        <v>13</v>
      </c>
      <c r="G1038" s="140">
        <v>0</v>
      </c>
      <c r="H1038" s="140">
        <v>0</v>
      </c>
      <c r="I1038" s="140">
        <v>11</v>
      </c>
      <c r="J1038" s="140">
        <f t="shared" si="16"/>
        <v>24</v>
      </c>
      <c r="K1038" s="3"/>
    </row>
    <row r="1039" spans="1:11" x14ac:dyDescent="0.3">
      <c r="A1039" s="4" t="s">
        <v>1440</v>
      </c>
      <c r="B1039" s="138" t="s">
        <v>360</v>
      </c>
      <c r="C1039" s="2" t="s">
        <v>202</v>
      </c>
      <c r="D1039" s="2" t="s">
        <v>204</v>
      </c>
      <c r="E1039" s="2" t="s">
        <v>471</v>
      </c>
      <c r="F1039" s="139">
        <v>1</v>
      </c>
      <c r="G1039" s="140">
        <v>3</v>
      </c>
      <c r="H1039" s="140">
        <v>0</v>
      </c>
      <c r="I1039" s="140">
        <v>0</v>
      </c>
      <c r="J1039" s="140">
        <f t="shared" si="16"/>
        <v>4</v>
      </c>
      <c r="K1039" s="3"/>
    </row>
    <row r="1040" spans="1:11" x14ac:dyDescent="0.3">
      <c r="A1040" s="4" t="s">
        <v>1441</v>
      </c>
      <c r="B1040" s="138" t="s">
        <v>360</v>
      </c>
      <c r="C1040" s="2" t="s">
        <v>202</v>
      </c>
      <c r="D1040" s="2" t="s">
        <v>204</v>
      </c>
      <c r="E1040" s="2" t="s">
        <v>419</v>
      </c>
      <c r="F1040" s="139">
        <v>6</v>
      </c>
      <c r="G1040" s="140">
        <v>0</v>
      </c>
      <c r="H1040" s="140">
        <v>0</v>
      </c>
      <c r="I1040" s="140">
        <v>0</v>
      </c>
      <c r="J1040" s="140">
        <f t="shared" si="16"/>
        <v>6</v>
      </c>
      <c r="K1040" s="3"/>
    </row>
    <row r="1041" spans="1:11" x14ac:dyDescent="0.3">
      <c r="A1041" s="4" t="s">
        <v>1442</v>
      </c>
      <c r="B1041" s="138" t="s">
        <v>360</v>
      </c>
      <c r="C1041" s="2" t="s">
        <v>202</v>
      </c>
      <c r="D1041" s="2" t="s">
        <v>199</v>
      </c>
      <c r="E1041" s="2" t="s">
        <v>473</v>
      </c>
      <c r="F1041" s="139">
        <v>1</v>
      </c>
      <c r="G1041" s="140">
        <v>0</v>
      </c>
      <c r="H1041" s="140">
        <v>0</v>
      </c>
      <c r="I1041" s="140">
        <v>0</v>
      </c>
      <c r="J1041" s="140">
        <f t="shared" si="16"/>
        <v>1</v>
      </c>
      <c r="K1041" s="3"/>
    </row>
    <row r="1042" spans="1:11" x14ac:dyDescent="0.3">
      <c r="A1042" s="4" t="s">
        <v>1443</v>
      </c>
      <c r="B1042" s="138" t="s">
        <v>363</v>
      </c>
      <c r="C1042" s="2" t="s">
        <v>208</v>
      </c>
      <c r="D1042" s="2" t="s">
        <v>197</v>
      </c>
      <c r="E1042" s="2" t="s">
        <v>439</v>
      </c>
      <c r="F1042" s="139">
        <v>3</v>
      </c>
      <c r="G1042" s="140">
        <v>0</v>
      </c>
      <c r="H1042" s="140">
        <v>0</v>
      </c>
      <c r="I1042" s="140">
        <v>0</v>
      </c>
      <c r="J1042" s="140">
        <f t="shared" si="16"/>
        <v>3</v>
      </c>
      <c r="K1042" s="3"/>
    </row>
    <row r="1043" spans="1:11" x14ac:dyDescent="0.3">
      <c r="A1043" s="4" t="s">
        <v>1444</v>
      </c>
      <c r="B1043" s="138" t="s">
        <v>360</v>
      </c>
      <c r="C1043" s="2" t="s">
        <v>202</v>
      </c>
      <c r="D1043" s="2" t="s">
        <v>199</v>
      </c>
      <c r="E1043" s="2" t="s">
        <v>384</v>
      </c>
      <c r="F1043" s="139">
        <v>13</v>
      </c>
      <c r="G1043" s="140">
        <v>20</v>
      </c>
      <c r="H1043" s="140">
        <v>0</v>
      </c>
      <c r="I1043" s="140">
        <v>0</v>
      </c>
      <c r="J1043" s="140">
        <f t="shared" si="16"/>
        <v>33</v>
      </c>
      <c r="K1043" s="3"/>
    </row>
    <row r="1044" spans="1:11" x14ac:dyDescent="0.3">
      <c r="A1044" s="4" t="s">
        <v>1445</v>
      </c>
      <c r="B1044" s="138" t="s">
        <v>478</v>
      </c>
      <c r="C1044" s="127" t="s">
        <v>205</v>
      </c>
      <c r="D1044" s="2" t="s">
        <v>196</v>
      </c>
      <c r="E1044" s="2" t="s">
        <v>479</v>
      </c>
      <c r="F1044" s="139">
        <v>0</v>
      </c>
      <c r="G1044" s="140">
        <v>0</v>
      </c>
      <c r="H1044" s="140">
        <v>0</v>
      </c>
      <c r="I1044" s="140">
        <v>0</v>
      </c>
      <c r="J1044" s="140">
        <f t="shared" si="16"/>
        <v>0</v>
      </c>
      <c r="K1044" s="3"/>
    </row>
    <row r="1045" spans="1:11" x14ac:dyDescent="0.3">
      <c r="A1045" s="4" t="s">
        <v>1446</v>
      </c>
      <c r="B1045" s="138" t="s">
        <v>360</v>
      </c>
      <c r="C1045" s="2" t="s">
        <v>202</v>
      </c>
      <c r="D1045" s="2" t="s">
        <v>199</v>
      </c>
      <c r="E1045" s="2" t="s">
        <v>384</v>
      </c>
      <c r="F1045" s="139">
        <v>1</v>
      </c>
      <c r="G1045" s="140">
        <v>0</v>
      </c>
      <c r="H1045" s="140">
        <v>0</v>
      </c>
      <c r="I1045" s="140">
        <v>0</v>
      </c>
      <c r="J1045" s="140">
        <f t="shared" si="16"/>
        <v>1</v>
      </c>
      <c r="K1045" s="3"/>
    </row>
    <row r="1046" spans="1:11" x14ac:dyDescent="0.3">
      <c r="A1046" s="4" t="s">
        <v>1447</v>
      </c>
      <c r="B1046" s="138" t="s">
        <v>360</v>
      </c>
      <c r="C1046" s="2" t="s">
        <v>202</v>
      </c>
      <c r="D1046" s="2" t="s">
        <v>199</v>
      </c>
      <c r="E1046" s="2" t="s">
        <v>428</v>
      </c>
      <c r="F1046" s="139">
        <v>12</v>
      </c>
      <c r="G1046" s="140">
        <v>0</v>
      </c>
      <c r="H1046" s="140">
        <v>0</v>
      </c>
      <c r="I1046" s="140">
        <v>15</v>
      </c>
      <c r="J1046" s="140">
        <f t="shared" si="16"/>
        <v>27</v>
      </c>
      <c r="K1046" s="3"/>
    </row>
    <row r="1047" spans="1:11" x14ac:dyDescent="0.3">
      <c r="A1047" s="4" t="s">
        <v>1448</v>
      </c>
      <c r="B1047" s="138" t="s">
        <v>360</v>
      </c>
      <c r="C1047" s="2" t="s">
        <v>202</v>
      </c>
      <c r="D1047" s="2" t="s">
        <v>200</v>
      </c>
      <c r="E1047" s="2" t="s">
        <v>417</v>
      </c>
      <c r="F1047" s="139">
        <v>14</v>
      </c>
      <c r="G1047" s="140">
        <v>0</v>
      </c>
      <c r="H1047" s="140">
        <v>0</v>
      </c>
      <c r="I1047" s="140">
        <v>10</v>
      </c>
      <c r="J1047" s="140">
        <f t="shared" si="16"/>
        <v>24</v>
      </c>
      <c r="K1047" s="3"/>
    </row>
    <row r="1048" spans="1:11" x14ac:dyDescent="0.3">
      <c r="A1048" s="4" t="s">
        <v>1449</v>
      </c>
      <c r="B1048" s="138" t="s">
        <v>363</v>
      </c>
      <c r="C1048" s="2" t="s">
        <v>198</v>
      </c>
      <c r="D1048" s="2" t="s">
        <v>199</v>
      </c>
      <c r="E1048" s="2" t="s">
        <v>402</v>
      </c>
      <c r="F1048" s="139">
        <v>7</v>
      </c>
      <c r="G1048" s="140">
        <v>0</v>
      </c>
      <c r="H1048" s="140">
        <v>0</v>
      </c>
      <c r="I1048" s="140">
        <v>0</v>
      </c>
      <c r="J1048" s="140">
        <f t="shared" si="16"/>
        <v>7</v>
      </c>
      <c r="K1048" s="3"/>
    </row>
    <row r="1049" spans="1:11" x14ac:dyDescent="0.3">
      <c r="A1049" s="4" t="s">
        <v>1450</v>
      </c>
      <c r="B1049" s="138" t="s">
        <v>363</v>
      </c>
      <c r="C1049" s="2" t="s">
        <v>198</v>
      </c>
      <c r="D1049" s="2" t="s">
        <v>200</v>
      </c>
      <c r="E1049" s="2" t="s">
        <v>372</v>
      </c>
      <c r="F1049" s="139">
        <v>3</v>
      </c>
      <c r="G1049" s="140">
        <v>0</v>
      </c>
      <c r="H1049" s="140">
        <v>0</v>
      </c>
      <c r="I1049" s="140">
        <v>0</v>
      </c>
      <c r="J1049" s="140">
        <f t="shared" si="16"/>
        <v>3</v>
      </c>
      <c r="K1049" s="3"/>
    </row>
    <row r="1050" spans="1:11" x14ac:dyDescent="0.3">
      <c r="A1050" s="4" t="s">
        <v>1451</v>
      </c>
      <c r="B1050" s="138" t="s">
        <v>360</v>
      </c>
      <c r="C1050" s="2" t="s">
        <v>188</v>
      </c>
      <c r="D1050" s="2" t="s">
        <v>195</v>
      </c>
      <c r="E1050" s="2" t="s">
        <v>447</v>
      </c>
      <c r="F1050" s="139">
        <v>0</v>
      </c>
      <c r="G1050" s="140">
        <v>0</v>
      </c>
      <c r="H1050" s="140">
        <v>0</v>
      </c>
      <c r="I1050" s="140">
        <v>0</v>
      </c>
      <c r="J1050" s="140">
        <f t="shared" si="16"/>
        <v>0</v>
      </c>
      <c r="K1050" s="3"/>
    </row>
    <row r="1051" spans="1:11" x14ac:dyDescent="0.3">
      <c r="A1051" s="4" t="s">
        <v>1452</v>
      </c>
      <c r="B1051" s="138" t="s">
        <v>360</v>
      </c>
      <c r="C1051" s="2" t="s">
        <v>202</v>
      </c>
      <c r="D1051" s="2" t="s">
        <v>199</v>
      </c>
      <c r="E1051" s="2" t="s">
        <v>473</v>
      </c>
      <c r="F1051" s="139">
        <v>10</v>
      </c>
      <c r="G1051" s="140">
        <v>8</v>
      </c>
      <c r="H1051" s="140">
        <v>0</v>
      </c>
      <c r="I1051" s="140">
        <v>0</v>
      </c>
      <c r="J1051" s="140">
        <f t="shared" si="16"/>
        <v>18</v>
      </c>
      <c r="K1051" s="3"/>
    </row>
    <row r="1052" spans="1:11" x14ac:dyDescent="0.3">
      <c r="A1052" s="4" t="s">
        <v>1453</v>
      </c>
      <c r="B1052" s="138" t="s">
        <v>363</v>
      </c>
      <c r="C1052" s="2" t="s">
        <v>206</v>
      </c>
      <c r="D1052" s="2" t="s">
        <v>207</v>
      </c>
      <c r="E1052" s="2" t="s">
        <v>443</v>
      </c>
      <c r="F1052" s="139">
        <v>1</v>
      </c>
      <c r="G1052" s="140">
        <v>0</v>
      </c>
      <c r="H1052" s="140">
        <v>0</v>
      </c>
      <c r="I1052" s="140">
        <v>0</v>
      </c>
      <c r="J1052" s="140">
        <f t="shared" si="16"/>
        <v>1</v>
      </c>
      <c r="K1052" s="3"/>
    </row>
    <row r="1053" spans="1:11" x14ac:dyDescent="0.3">
      <c r="A1053" s="4" t="s">
        <v>1454</v>
      </c>
      <c r="B1053" s="138" t="s">
        <v>363</v>
      </c>
      <c r="C1053" s="2" t="s">
        <v>198</v>
      </c>
      <c r="D1053" s="2" t="s">
        <v>197</v>
      </c>
      <c r="E1053" s="2" t="s">
        <v>409</v>
      </c>
      <c r="F1053" s="139">
        <v>3</v>
      </c>
      <c r="G1053" s="140">
        <v>0</v>
      </c>
      <c r="H1053" s="140">
        <v>0</v>
      </c>
      <c r="I1053" s="140">
        <v>0</v>
      </c>
      <c r="J1053" s="140">
        <f t="shared" si="16"/>
        <v>3</v>
      </c>
      <c r="K1053" s="3"/>
    </row>
    <row r="1054" spans="1:11" x14ac:dyDescent="0.3">
      <c r="A1054" s="4" t="s">
        <v>1455</v>
      </c>
      <c r="B1054" s="138" t="s">
        <v>360</v>
      </c>
      <c r="C1054" s="2" t="s">
        <v>188</v>
      </c>
      <c r="D1054" s="2" t="s">
        <v>195</v>
      </c>
      <c r="E1054" s="2" t="s">
        <v>447</v>
      </c>
      <c r="F1054" s="139">
        <v>9</v>
      </c>
      <c r="G1054" s="140">
        <v>0</v>
      </c>
      <c r="H1054" s="140">
        <v>0</v>
      </c>
      <c r="I1054" s="140">
        <v>0</v>
      </c>
      <c r="J1054" s="140">
        <f t="shared" si="16"/>
        <v>9</v>
      </c>
      <c r="K1054" s="3"/>
    </row>
    <row r="1055" spans="1:11" x14ac:dyDescent="0.3">
      <c r="A1055" s="4" t="s">
        <v>1456</v>
      </c>
      <c r="B1055" s="138" t="s">
        <v>360</v>
      </c>
      <c r="C1055" s="2" t="s">
        <v>202</v>
      </c>
      <c r="D1055" s="2" t="s">
        <v>199</v>
      </c>
      <c r="E1055" s="2" t="s">
        <v>473</v>
      </c>
      <c r="F1055" s="139">
        <v>11</v>
      </c>
      <c r="G1055" s="140">
        <v>0</v>
      </c>
      <c r="H1055" s="140">
        <v>0</v>
      </c>
      <c r="I1055" s="140">
        <v>1</v>
      </c>
      <c r="J1055" s="140">
        <f t="shared" si="16"/>
        <v>12</v>
      </c>
      <c r="K1055" s="3"/>
    </row>
    <row r="1056" spans="1:11" x14ac:dyDescent="0.3">
      <c r="A1056" s="4" t="s">
        <v>1457</v>
      </c>
      <c r="B1056" s="138" t="s">
        <v>360</v>
      </c>
      <c r="C1056" s="2" t="s">
        <v>202</v>
      </c>
      <c r="D1056" s="2" t="s">
        <v>200</v>
      </c>
      <c r="E1056" s="2" t="s">
        <v>707</v>
      </c>
      <c r="F1056" s="139">
        <v>13</v>
      </c>
      <c r="G1056" s="140">
        <v>0</v>
      </c>
      <c r="H1056" s="140">
        <v>0</v>
      </c>
      <c r="I1056" s="140">
        <v>3</v>
      </c>
      <c r="J1056" s="140">
        <f t="shared" si="16"/>
        <v>16</v>
      </c>
      <c r="K1056" s="3"/>
    </row>
    <row r="1057" spans="1:11" x14ac:dyDescent="0.3">
      <c r="A1057" s="4" t="s">
        <v>1458</v>
      </c>
      <c r="B1057" s="138" t="s">
        <v>360</v>
      </c>
      <c r="C1057" s="2" t="s">
        <v>202</v>
      </c>
      <c r="D1057" s="2" t="s">
        <v>204</v>
      </c>
      <c r="E1057" s="2" t="s">
        <v>389</v>
      </c>
      <c r="F1057" s="139">
        <v>12</v>
      </c>
      <c r="G1057" s="140">
        <v>16</v>
      </c>
      <c r="H1057" s="140">
        <v>0</v>
      </c>
      <c r="I1057" s="140">
        <v>0</v>
      </c>
      <c r="J1057" s="140">
        <f t="shared" si="16"/>
        <v>28</v>
      </c>
      <c r="K1057" s="3"/>
    </row>
    <row r="1058" spans="1:11" x14ac:dyDescent="0.3">
      <c r="A1058" s="4" t="s">
        <v>1459</v>
      </c>
      <c r="B1058" s="138" t="s">
        <v>360</v>
      </c>
      <c r="C1058" s="2" t="s">
        <v>202</v>
      </c>
      <c r="D1058" s="2" t="s">
        <v>200</v>
      </c>
      <c r="E1058" s="2" t="s">
        <v>417</v>
      </c>
      <c r="F1058" s="139">
        <v>17</v>
      </c>
      <c r="G1058" s="140">
        <v>0</v>
      </c>
      <c r="H1058" s="140">
        <v>0</v>
      </c>
      <c r="I1058" s="140">
        <v>0</v>
      </c>
      <c r="J1058" s="140">
        <f t="shared" si="16"/>
        <v>17</v>
      </c>
      <c r="K1058" s="3"/>
    </row>
    <row r="1059" spans="1:11" x14ac:dyDescent="0.3">
      <c r="A1059" s="4" t="s">
        <v>1460</v>
      </c>
      <c r="B1059" s="138" t="s">
        <v>360</v>
      </c>
      <c r="C1059" s="2" t="s">
        <v>202</v>
      </c>
      <c r="D1059" s="2" t="s">
        <v>204</v>
      </c>
      <c r="E1059" s="2" t="s">
        <v>366</v>
      </c>
      <c r="F1059" s="139">
        <v>7</v>
      </c>
      <c r="G1059" s="140">
        <v>0</v>
      </c>
      <c r="H1059" s="140">
        <v>0</v>
      </c>
      <c r="I1059" s="140">
        <v>0</v>
      </c>
      <c r="J1059" s="140">
        <f t="shared" si="16"/>
        <v>7</v>
      </c>
      <c r="K1059" s="3"/>
    </row>
    <row r="1060" spans="1:11" x14ac:dyDescent="0.3">
      <c r="A1060" s="4" t="s">
        <v>1461</v>
      </c>
      <c r="B1060" s="138" t="s">
        <v>363</v>
      </c>
      <c r="C1060" s="2" t="s">
        <v>206</v>
      </c>
      <c r="D1060" s="2" t="s">
        <v>197</v>
      </c>
      <c r="E1060" s="2" t="s">
        <v>637</v>
      </c>
      <c r="F1060" s="139">
        <v>2</v>
      </c>
      <c r="G1060" s="140">
        <v>4</v>
      </c>
      <c r="H1060" s="140">
        <v>0</v>
      </c>
      <c r="I1060" s="140">
        <v>0</v>
      </c>
      <c r="J1060" s="140">
        <f t="shared" si="16"/>
        <v>6</v>
      </c>
      <c r="K1060" s="3"/>
    </row>
    <row r="1061" spans="1:11" x14ac:dyDescent="0.3">
      <c r="A1061" s="4" t="s">
        <v>1462</v>
      </c>
      <c r="B1061" s="138" t="s">
        <v>360</v>
      </c>
      <c r="C1061" s="2" t="s">
        <v>202</v>
      </c>
      <c r="D1061" s="2" t="s">
        <v>200</v>
      </c>
      <c r="E1061" s="2" t="s">
        <v>417</v>
      </c>
      <c r="F1061" s="139">
        <v>14</v>
      </c>
      <c r="G1061" s="140">
        <v>0</v>
      </c>
      <c r="H1061" s="140">
        <v>0</v>
      </c>
      <c r="I1061" s="140">
        <v>16</v>
      </c>
      <c r="J1061" s="140">
        <f t="shared" si="16"/>
        <v>30</v>
      </c>
      <c r="K1061" s="3"/>
    </row>
    <row r="1062" spans="1:11" x14ac:dyDescent="0.3">
      <c r="A1062" s="4" t="s">
        <v>1463</v>
      </c>
      <c r="B1062" s="138" t="s">
        <v>360</v>
      </c>
      <c r="C1062" s="2" t="s">
        <v>188</v>
      </c>
      <c r="D1062" s="2" t="s">
        <v>197</v>
      </c>
      <c r="E1062" s="2" t="s">
        <v>862</v>
      </c>
      <c r="F1062" s="139">
        <v>0</v>
      </c>
      <c r="G1062" s="140">
        <v>0</v>
      </c>
      <c r="H1062" s="140">
        <v>0</v>
      </c>
      <c r="I1062" s="140">
        <v>0</v>
      </c>
      <c r="J1062" s="140">
        <f t="shared" si="16"/>
        <v>0</v>
      </c>
      <c r="K1062" s="3"/>
    </row>
    <row r="1063" spans="1:11" x14ac:dyDescent="0.3">
      <c r="A1063" s="4" t="s">
        <v>1464</v>
      </c>
      <c r="B1063" s="138" t="s">
        <v>363</v>
      </c>
      <c r="C1063" s="2" t="s">
        <v>206</v>
      </c>
      <c r="D1063" s="2" t="s">
        <v>189</v>
      </c>
      <c r="E1063" s="2" t="s">
        <v>541</v>
      </c>
      <c r="F1063" s="139">
        <v>16</v>
      </c>
      <c r="G1063" s="140">
        <v>0</v>
      </c>
      <c r="H1063" s="140">
        <v>0</v>
      </c>
      <c r="I1063" s="140">
        <v>5</v>
      </c>
      <c r="J1063" s="140">
        <f t="shared" si="16"/>
        <v>21</v>
      </c>
      <c r="K1063" s="3"/>
    </row>
    <row r="1064" spans="1:11" x14ac:dyDescent="0.3">
      <c r="A1064" s="4" t="s">
        <v>1465</v>
      </c>
      <c r="B1064" s="138" t="s">
        <v>360</v>
      </c>
      <c r="C1064" s="2" t="s">
        <v>202</v>
      </c>
      <c r="D1064" s="127" t="s">
        <v>203</v>
      </c>
      <c r="E1064" s="2" t="s">
        <v>399</v>
      </c>
      <c r="F1064" s="139">
        <v>13</v>
      </c>
      <c r="G1064" s="140">
        <v>0</v>
      </c>
      <c r="H1064" s="140">
        <v>0</v>
      </c>
      <c r="I1064" s="140">
        <v>0</v>
      </c>
      <c r="J1064" s="140">
        <f t="shared" si="16"/>
        <v>13</v>
      </c>
      <c r="K1064" s="3"/>
    </row>
    <row r="1065" spans="1:11" x14ac:dyDescent="0.3">
      <c r="A1065" s="4" t="s">
        <v>1466</v>
      </c>
      <c r="B1065" s="138" t="s">
        <v>360</v>
      </c>
      <c r="C1065" s="2" t="s">
        <v>202</v>
      </c>
      <c r="D1065" s="2" t="s">
        <v>204</v>
      </c>
      <c r="E1065" s="2" t="s">
        <v>538</v>
      </c>
      <c r="F1065" s="139">
        <v>0</v>
      </c>
      <c r="G1065" s="140">
        <v>4</v>
      </c>
      <c r="H1065" s="140">
        <v>0</v>
      </c>
      <c r="I1065" s="140">
        <v>0</v>
      </c>
      <c r="J1065" s="140">
        <f t="shared" si="16"/>
        <v>4</v>
      </c>
      <c r="K1065" s="3"/>
    </row>
    <row r="1066" spans="1:11" x14ac:dyDescent="0.3">
      <c r="A1066" s="4" t="s">
        <v>1467</v>
      </c>
      <c r="B1066" s="138" t="s">
        <v>360</v>
      </c>
      <c r="C1066" s="2" t="s">
        <v>202</v>
      </c>
      <c r="D1066" s="127" t="s">
        <v>203</v>
      </c>
      <c r="E1066" s="2" t="s">
        <v>399</v>
      </c>
      <c r="F1066" s="139">
        <v>1</v>
      </c>
      <c r="G1066" s="140">
        <v>0</v>
      </c>
      <c r="H1066" s="140">
        <v>0</v>
      </c>
      <c r="I1066" s="140">
        <v>0</v>
      </c>
      <c r="J1066" s="140">
        <f t="shared" si="16"/>
        <v>1</v>
      </c>
      <c r="K1066" s="3"/>
    </row>
    <row r="1067" spans="1:11" x14ac:dyDescent="0.3">
      <c r="A1067" s="4" t="s">
        <v>1468</v>
      </c>
      <c r="B1067" s="138" t="s">
        <v>363</v>
      </c>
      <c r="C1067" s="2" t="s">
        <v>206</v>
      </c>
      <c r="D1067" s="2" t="s">
        <v>189</v>
      </c>
      <c r="E1067" s="2" t="s">
        <v>397</v>
      </c>
      <c r="F1067" s="139">
        <v>10</v>
      </c>
      <c r="G1067" s="140">
        <v>0</v>
      </c>
      <c r="H1067" s="140">
        <v>0</v>
      </c>
      <c r="I1067" s="140">
        <v>0</v>
      </c>
      <c r="J1067" s="140">
        <f t="shared" si="16"/>
        <v>10</v>
      </c>
      <c r="K1067" s="3"/>
    </row>
    <row r="1068" spans="1:11" x14ac:dyDescent="0.3">
      <c r="A1068" s="4" t="s">
        <v>1469</v>
      </c>
      <c r="B1068" s="138" t="s">
        <v>360</v>
      </c>
      <c r="C1068" s="2" t="s">
        <v>202</v>
      </c>
      <c r="D1068" s="127" t="s">
        <v>203</v>
      </c>
      <c r="E1068" s="2" t="s">
        <v>399</v>
      </c>
      <c r="F1068" s="139">
        <v>8</v>
      </c>
      <c r="G1068" s="140">
        <v>0</v>
      </c>
      <c r="H1068" s="140">
        <v>0</v>
      </c>
      <c r="I1068" s="140">
        <v>0</v>
      </c>
      <c r="J1068" s="140">
        <f t="shared" si="16"/>
        <v>8</v>
      </c>
      <c r="K1068" s="3"/>
    </row>
    <row r="1069" spans="1:11" x14ac:dyDescent="0.3">
      <c r="A1069" s="4" t="s">
        <v>1470</v>
      </c>
      <c r="B1069" s="138" t="s">
        <v>360</v>
      </c>
      <c r="C1069" s="2" t="s">
        <v>202</v>
      </c>
      <c r="D1069" s="2" t="s">
        <v>204</v>
      </c>
      <c r="E1069" s="2" t="s">
        <v>412</v>
      </c>
      <c r="F1069" s="139">
        <v>0</v>
      </c>
      <c r="G1069" s="140">
        <v>0</v>
      </c>
      <c r="H1069" s="140">
        <v>0</v>
      </c>
      <c r="I1069" s="140">
        <v>0</v>
      </c>
      <c r="J1069" s="140">
        <f t="shared" si="16"/>
        <v>0</v>
      </c>
      <c r="K1069" s="3"/>
    </row>
    <row r="1070" spans="1:11" x14ac:dyDescent="0.3">
      <c r="A1070" s="4" t="s">
        <v>1471</v>
      </c>
      <c r="B1070" s="138" t="s">
        <v>360</v>
      </c>
      <c r="C1070" s="2" t="s">
        <v>202</v>
      </c>
      <c r="D1070" s="2" t="s">
        <v>204</v>
      </c>
      <c r="E1070" s="2" t="s">
        <v>462</v>
      </c>
      <c r="F1070" s="139">
        <v>2</v>
      </c>
      <c r="G1070" s="140">
        <v>0</v>
      </c>
      <c r="H1070" s="140">
        <v>0</v>
      </c>
      <c r="I1070" s="140">
        <v>0</v>
      </c>
      <c r="J1070" s="140">
        <f t="shared" si="16"/>
        <v>2</v>
      </c>
      <c r="K1070" s="3"/>
    </row>
    <row r="1071" spans="1:11" x14ac:dyDescent="0.3">
      <c r="A1071" s="4" t="s">
        <v>1472</v>
      </c>
      <c r="B1071" s="138" t="s">
        <v>360</v>
      </c>
      <c r="C1071" s="2" t="s">
        <v>202</v>
      </c>
      <c r="D1071" s="2" t="s">
        <v>204</v>
      </c>
      <c r="E1071" s="2" t="s">
        <v>471</v>
      </c>
      <c r="F1071" s="139">
        <v>4</v>
      </c>
      <c r="G1071" s="140">
        <v>0</v>
      </c>
      <c r="H1071" s="140">
        <v>0</v>
      </c>
      <c r="I1071" s="140">
        <v>0</v>
      </c>
      <c r="J1071" s="140">
        <f t="shared" si="16"/>
        <v>4</v>
      </c>
      <c r="K1071" s="3"/>
    </row>
    <row r="1072" spans="1:11" x14ac:dyDescent="0.3">
      <c r="A1072" s="4" t="s">
        <v>1473</v>
      </c>
      <c r="B1072" s="138" t="s">
        <v>360</v>
      </c>
      <c r="C1072" s="2" t="s">
        <v>202</v>
      </c>
      <c r="D1072" s="2" t="s">
        <v>200</v>
      </c>
      <c r="E1072" s="2" t="s">
        <v>417</v>
      </c>
      <c r="F1072" s="139">
        <v>10</v>
      </c>
      <c r="G1072" s="140">
        <v>0</v>
      </c>
      <c r="H1072" s="140">
        <v>0</v>
      </c>
      <c r="I1072" s="140">
        <v>0</v>
      </c>
      <c r="J1072" s="140">
        <f t="shared" si="16"/>
        <v>10</v>
      </c>
      <c r="K1072" s="3"/>
    </row>
    <row r="1073" spans="1:11" x14ac:dyDescent="0.3">
      <c r="A1073" s="4" t="s">
        <v>1474</v>
      </c>
      <c r="B1073" s="138" t="s">
        <v>360</v>
      </c>
      <c r="C1073" s="2" t="s">
        <v>202</v>
      </c>
      <c r="D1073" s="2" t="s">
        <v>199</v>
      </c>
      <c r="E1073" s="2" t="s">
        <v>378</v>
      </c>
      <c r="F1073" s="139">
        <v>3</v>
      </c>
      <c r="G1073" s="140">
        <v>0</v>
      </c>
      <c r="H1073" s="140">
        <v>0</v>
      </c>
      <c r="I1073" s="140">
        <v>0</v>
      </c>
      <c r="J1073" s="140">
        <f t="shared" si="16"/>
        <v>3</v>
      </c>
      <c r="K1073" s="3"/>
    </row>
    <row r="1074" spans="1:11" x14ac:dyDescent="0.3">
      <c r="A1074" s="4" t="s">
        <v>1475</v>
      </c>
      <c r="B1074" s="138" t="s">
        <v>360</v>
      </c>
      <c r="C1074" s="2" t="s">
        <v>202</v>
      </c>
      <c r="D1074" s="2" t="s">
        <v>199</v>
      </c>
      <c r="E1074" s="2" t="s">
        <v>384</v>
      </c>
      <c r="F1074" s="139">
        <v>17</v>
      </c>
      <c r="G1074" s="140">
        <v>0</v>
      </c>
      <c r="H1074" s="140">
        <v>0</v>
      </c>
      <c r="I1074" s="140">
        <v>4</v>
      </c>
      <c r="J1074" s="140">
        <f t="shared" si="16"/>
        <v>21</v>
      </c>
      <c r="K1074" s="3"/>
    </row>
    <row r="1075" spans="1:11" x14ac:dyDescent="0.3">
      <c r="A1075" s="4" t="s">
        <v>1476</v>
      </c>
      <c r="B1075" s="138" t="s">
        <v>363</v>
      </c>
      <c r="C1075" s="2" t="s">
        <v>198</v>
      </c>
      <c r="D1075" s="2" t="s">
        <v>199</v>
      </c>
      <c r="E1075" s="2" t="s">
        <v>402</v>
      </c>
      <c r="F1075" s="139">
        <v>7</v>
      </c>
      <c r="G1075" s="140">
        <v>0</v>
      </c>
      <c r="H1075" s="140">
        <v>0</v>
      </c>
      <c r="I1075" s="140">
        <v>0</v>
      </c>
      <c r="J1075" s="140">
        <f t="shared" si="16"/>
        <v>7</v>
      </c>
      <c r="K1075" s="3"/>
    </row>
    <row r="1076" spans="1:11" ht="6.75" customHeight="1" thickBot="1" x14ac:dyDescent="0.35">
      <c r="A1076" s="6"/>
      <c r="B1076" s="141"/>
      <c r="C1076" s="7"/>
      <c r="D1076" s="7"/>
      <c r="E1076" s="7"/>
      <c r="F1076" s="141"/>
      <c r="G1076" s="7"/>
      <c r="H1076" s="7"/>
      <c r="I1076" s="7"/>
      <c r="J1076" s="7"/>
      <c r="K1076" s="8"/>
    </row>
  </sheetData>
  <phoneticPr fontId="0" type="noConversion"/>
  <pageMargins left="0.75" right="0.75" top="0.4" bottom="0.57999999999999996" header="0.4" footer="0.57999999999999996"/>
  <pageSetup paperSize="9" scale="130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FFFF00"/>
  </sheetPr>
  <dimension ref="K10:P35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O17" sqref="O17"/>
    </sheetView>
  </sheetViews>
  <sheetFormatPr defaultRowHeight="10.15" x14ac:dyDescent="0.3"/>
  <cols>
    <col min="1" max="1" width="50.83203125" customWidth="1"/>
    <col min="11" max="11" width="20" customWidth="1"/>
    <col min="12" max="15" width="8.33203125" customWidth="1"/>
    <col min="16" max="16" width="1.83203125" customWidth="1"/>
  </cols>
  <sheetData>
    <row r="10" spans="11:16" ht="10.5" thickBot="1" x14ac:dyDescent="0.35"/>
    <row r="11" spans="11:16" ht="15" x14ac:dyDescent="0.3">
      <c r="K11" s="70" t="s">
        <v>1477</v>
      </c>
      <c r="L11" s="30"/>
      <c r="M11" s="30" t="str">
        <f>kOrgName</f>
        <v>AbleOwl © 2024</v>
      </c>
      <c r="N11" s="30"/>
      <c r="O11" s="30"/>
      <c r="P11" s="31"/>
    </row>
    <row r="12" spans="11:16" ht="15" x14ac:dyDescent="0.3">
      <c r="K12" s="81" t="s">
        <v>1478</v>
      </c>
      <c r="L12" s="33"/>
      <c r="M12" s="33" t="str">
        <f ca="1">kNow</f>
        <v xml:space="preserve">13-Oct-2024 7:14 PM </v>
      </c>
      <c r="N12" s="33"/>
      <c r="O12" s="33"/>
      <c r="P12" s="34"/>
    </row>
    <row r="13" spans="11:16" ht="13.15" x14ac:dyDescent="0.3">
      <c r="K13" s="73"/>
      <c r="L13" s="33"/>
      <c r="M13" s="33"/>
      <c r="N13" s="33"/>
      <c r="O13" s="33"/>
      <c r="P13" s="34"/>
    </row>
    <row r="14" spans="11:16" ht="10.5" thickBot="1" x14ac:dyDescent="0.35">
      <c r="K14" s="36"/>
      <c r="L14" s="76" t="s">
        <v>212</v>
      </c>
      <c r="M14" s="76" t="s">
        <v>213</v>
      </c>
      <c r="N14" s="76" t="s">
        <v>214</v>
      </c>
      <c r="O14" s="76" t="s">
        <v>183</v>
      </c>
      <c r="P14" s="77"/>
    </row>
    <row r="15" spans="11:16" ht="6" customHeight="1" x14ac:dyDescent="0.3">
      <c r="K15" s="1"/>
      <c r="L15" s="2"/>
      <c r="M15" s="2"/>
      <c r="N15" s="2"/>
      <c r="O15" s="2"/>
      <c r="P15" s="3"/>
    </row>
    <row r="16" spans="11:16" x14ac:dyDescent="0.3">
      <c r="K16" s="114" t="s">
        <v>1477</v>
      </c>
      <c r="L16" s="151"/>
      <c r="M16" s="151"/>
      <c r="N16" s="151"/>
      <c r="O16" s="151"/>
      <c r="P16" s="3"/>
    </row>
    <row r="17" spans="11:16" x14ac:dyDescent="0.3">
      <c r="K17" s="152" t="s">
        <v>1479</v>
      </c>
      <c r="L17" s="153">
        <v>1916.6666666666667</v>
      </c>
      <c r="M17" s="153">
        <v>1916.6666666666667</v>
      </c>
      <c r="N17" s="153">
        <v>1916.6666666666667</v>
      </c>
      <c r="O17" s="154">
        <f>SUM(L17:N17)</f>
        <v>5750</v>
      </c>
      <c r="P17" s="3"/>
    </row>
    <row r="18" spans="11:16" x14ac:dyDescent="0.3">
      <c r="K18" s="152" t="s">
        <v>1480</v>
      </c>
      <c r="L18" s="153">
        <v>468</v>
      </c>
      <c r="M18" s="153">
        <v>468</v>
      </c>
      <c r="N18" s="153">
        <v>468</v>
      </c>
      <c r="O18" s="154"/>
      <c r="P18" s="3"/>
    </row>
    <row r="19" spans="11:16" x14ac:dyDescent="0.3">
      <c r="K19" s="152" t="s">
        <v>1481</v>
      </c>
      <c r="L19" s="153">
        <v>300</v>
      </c>
      <c r="M19" s="153">
        <v>300</v>
      </c>
      <c r="N19" s="153">
        <v>300</v>
      </c>
      <c r="O19" s="154"/>
      <c r="P19" s="3"/>
    </row>
    <row r="20" spans="11:16" x14ac:dyDescent="0.3">
      <c r="K20" s="152" t="s">
        <v>1482</v>
      </c>
      <c r="L20" s="153">
        <v>200</v>
      </c>
      <c r="M20" s="153">
        <v>200</v>
      </c>
      <c r="N20" s="153">
        <v>200</v>
      </c>
      <c r="O20" s="154"/>
      <c r="P20" s="3"/>
    </row>
    <row r="21" spans="11:16" x14ac:dyDescent="0.3">
      <c r="K21" s="152"/>
      <c r="L21" s="153"/>
      <c r="M21" s="153"/>
      <c r="N21" s="153"/>
      <c r="O21" s="154"/>
      <c r="P21" s="3"/>
    </row>
    <row r="22" spans="11:16" x14ac:dyDescent="0.3">
      <c r="K22" s="152" t="s">
        <v>1483</v>
      </c>
      <c r="L22" s="153">
        <v>300</v>
      </c>
      <c r="M22" s="153">
        <v>300</v>
      </c>
      <c r="N22" s="153">
        <v>300</v>
      </c>
      <c r="O22" s="154"/>
      <c r="P22" s="3"/>
    </row>
    <row r="23" spans="11:16" x14ac:dyDescent="0.3">
      <c r="K23" s="152" t="s">
        <v>1484</v>
      </c>
      <c r="L23" s="153">
        <v>100</v>
      </c>
      <c r="M23" s="153">
        <v>100</v>
      </c>
      <c r="N23" s="153">
        <v>100</v>
      </c>
      <c r="O23" s="154"/>
      <c r="P23" s="3"/>
    </row>
    <row r="24" spans="11:16" x14ac:dyDescent="0.3">
      <c r="K24" s="152" t="s">
        <v>1485</v>
      </c>
      <c r="L24" s="153">
        <v>100</v>
      </c>
      <c r="M24" s="153">
        <v>100</v>
      </c>
      <c r="N24" s="153">
        <v>100</v>
      </c>
      <c r="O24" s="154"/>
      <c r="P24" s="3"/>
    </row>
    <row r="25" spans="11:16" x14ac:dyDescent="0.3">
      <c r="K25" s="152"/>
      <c r="L25" s="153"/>
      <c r="M25" s="153"/>
      <c r="N25" s="153"/>
      <c r="O25" s="154"/>
      <c r="P25" s="3"/>
    </row>
    <row r="26" spans="11:16" x14ac:dyDescent="0.3">
      <c r="K26" s="152" t="s">
        <v>1486</v>
      </c>
      <c r="L26" s="153">
        <v>50</v>
      </c>
      <c r="M26" s="153">
        <v>50</v>
      </c>
      <c r="N26" s="153">
        <v>50</v>
      </c>
      <c r="O26" s="154"/>
      <c r="P26" s="3"/>
    </row>
    <row r="27" spans="11:16" x14ac:dyDescent="0.3">
      <c r="K27" s="152" t="s">
        <v>1487</v>
      </c>
      <c r="L27" s="153">
        <v>400</v>
      </c>
      <c r="M27" s="153">
        <v>400</v>
      </c>
      <c r="N27" s="153">
        <v>400</v>
      </c>
      <c r="O27" s="154"/>
      <c r="P27" s="3"/>
    </row>
    <row r="28" spans="11:16" x14ac:dyDescent="0.3">
      <c r="K28" s="152" t="s">
        <v>1488</v>
      </c>
      <c r="L28" s="153">
        <v>200</v>
      </c>
      <c r="M28" s="153">
        <v>200</v>
      </c>
      <c r="N28" s="153">
        <v>200</v>
      </c>
      <c r="O28" s="154"/>
      <c r="P28" s="3"/>
    </row>
    <row r="29" spans="11:16" x14ac:dyDescent="0.3">
      <c r="K29" s="152"/>
      <c r="L29" s="153"/>
      <c r="M29" s="153"/>
      <c r="N29" s="153"/>
      <c r="O29" s="154"/>
      <c r="P29" s="3"/>
    </row>
    <row r="30" spans="11:16" x14ac:dyDescent="0.3">
      <c r="K30" s="152" t="s">
        <v>1489</v>
      </c>
      <c r="L30" s="153">
        <v>200</v>
      </c>
      <c r="M30" s="153">
        <v>200</v>
      </c>
      <c r="N30" s="153">
        <v>200</v>
      </c>
      <c r="O30" s="154"/>
      <c r="P30" s="3"/>
    </row>
    <row r="31" spans="11:16" x14ac:dyDescent="0.3">
      <c r="K31" s="152" t="s">
        <v>1490</v>
      </c>
      <c r="L31" s="153">
        <v>100</v>
      </c>
      <c r="M31" s="153">
        <v>100</v>
      </c>
      <c r="N31" s="153">
        <v>100</v>
      </c>
      <c r="O31" s="154"/>
      <c r="P31" s="3"/>
    </row>
    <row r="32" spans="11:16" x14ac:dyDescent="0.3">
      <c r="K32" s="152" t="s">
        <v>1491</v>
      </c>
      <c r="L32" s="153">
        <v>12</v>
      </c>
      <c r="M32" s="153">
        <v>13</v>
      </c>
      <c r="N32" s="153">
        <v>1500</v>
      </c>
      <c r="O32" s="154"/>
      <c r="P32" s="3"/>
    </row>
    <row r="33" spans="11:16" x14ac:dyDescent="0.3">
      <c r="K33" s="152" t="s">
        <v>1492</v>
      </c>
      <c r="L33" s="153">
        <v>4</v>
      </c>
      <c r="M33" s="153">
        <v>0</v>
      </c>
      <c r="N33" s="153">
        <v>0</v>
      </c>
      <c r="O33" s="154"/>
      <c r="P33" s="3"/>
    </row>
    <row r="34" spans="11:16" x14ac:dyDescent="0.3">
      <c r="K34" s="152" t="s">
        <v>1493</v>
      </c>
      <c r="L34" s="153">
        <v>100</v>
      </c>
      <c r="M34" s="153">
        <v>101</v>
      </c>
      <c r="N34" s="153">
        <v>100</v>
      </c>
      <c r="O34" s="154"/>
      <c r="P34" s="3"/>
    </row>
    <row r="35" spans="11:16" ht="6.75" customHeight="1" thickBot="1" x14ac:dyDescent="0.35">
      <c r="K35" s="155"/>
      <c r="L35" s="156"/>
      <c r="M35" s="156"/>
      <c r="N35" s="156"/>
      <c r="O35" s="157"/>
      <c r="P35" s="8"/>
    </row>
  </sheetData>
  <phoneticPr fontId="0" type="noConversion"/>
  <hyperlinks>
    <hyperlink ref="O11" location="aMenu" tooltip="Return to Menu sheet" display="Menu" xr:uid="{00000000-0004-0000-15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FF00"/>
  </sheetPr>
  <dimension ref="K10:Q772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X47" sqref="X47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5.4140625" style="10" bestFit="1" customWidth="1"/>
    <col min="12" max="12" width="6.83203125" style="10" customWidth="1"/>
    <col min="13" max="13" width="11.83203125" style="10" customWidth="1"/>
    <col min="14" max="14" width="7.83203125" style="10" customWidth="1"/>
    <col min="15" max="15" width="8.1640625" style="10" customWidth="1"/>
    <col min="16" max="16" width="6.1640625" style="10" bestFit="1" customWidth="1"/>
    <col min="17" max="17" width="1.83203125" style="10" customWidth="1"/>
    <col min="18" max="16384" width="9.33203125" style="10"/>
  </cols>
  <sheetData>
    <row r="10" spans="11:17" ht="10.5" thickBot="1" x14ac:dyDescent="0.35"/>
    <row r="11" spans="11:17" ht="15" x14ac:dyDescent="0.3">
      <c r="K11" s="11" t="s">
        <v>311</v>
      </c>
      <c r="L11" s="12"/>
      <c r="M11" s="49" t="str">
        <f>kOrgName</f>
        <v>AbleOwl © 2024</v>
      </c>
      <c r="N11" s="12"/>
      <c r="O11" s="12"/>
      <c r="P11" s="12"/>
      <c r="Q11" s="13"/>
    </row>
    <row r="12" spans="11:17" ht="13.15" x14ac:dyDescent="0.3">
      <c r="K12" s="73" t="s">
        <v>1494</v>
      </c>
      <c r="L12" s="15"/>
      <c r="M12" s="16" t="str">
        <f ca="1">kNow</f>
        <v xml:space="preserve">13-Oct-2024 7:14 PM </v>
      </c>
      <c r="N12" s="15"/>
      <c r="O12" s="15"/>
      <c r="P12" s="15"/>
      <c r="Q12" s="17"/>
    </row>
    <row r="13" spans="11:17" ht="13.15" x14ac:dyDescent="0.3">
      <c r="K13" s="18"/>
      <c r="L13" s="15"/>
      <c r="M13" s="15"/>
      <c r="N13" s="15"/>
      <c r="O13" s="15"/>
      <c r="P13" s="15"/>
      <c r="Q13" s="17"/>
    </row>
    <row r="14" spans="11:17" ht="10.5" thickBot="1" x14ac:dyDescent="0.35">
      <c r="K14" s="158" t="s">
        <v>1495</v>
      </c>
      <c r="L14" s="159" t="s">
        <v>1496</v>
      </c>
      <c r="M14" s="159" t="s">
        <v>1497</v>
      </c>
      <c r="N14" s="159" t="s">
        <v>224</v>
      </c>
      <c r="O14" s="159" t="s">
        <v>1498</v>
      </c>
      <c r="P14" s="159" t="s">
        <v>1499</v>
      </c>
      <c r="Q14" s="21"/>
    </row>
    <row r="15" spans="11:17" ht="6" customHeight="1" x14ac:dyDescent="0.3">
      <c r="K15" s="22"/>
      <c r="L15" s="23"/>
      <c r="M15" s="23"/>
      <c r="N15" s="23"/>
      <c r="O15" s="23"/>
      <c r="P15" s="23"/>
      <c r="Q15" s="24"/>
    </row>
    <row r="16" spans="11:17" x14ac:dyDescent="0.3">
      <c r="K16" s="85" t="s">
        <v>1500</v>
      </c>
      <c r="L16" s="23" t="s">
        <v>363</v>
      </c>
      <c r="M16" s="23" t="s">
        <v>1501</v>
      </c>
      <c r="N16" s="23">
        <v>2000</v>
      </c>
      <c r="O16" s="23"/>
      <c r="P16" s="23">
        <v>5917</v>
      </c>
      <c r="Q16" s="24"/>
    </row>
    <row r="17" spans="11:17" x14ac:dyDescent="0.3">
      <c r="K17" s="85" t="s">
        <v>1500</v>
      </c>
      <c r="L17" s="23" t="s">
        <v>363</v>
      </c>
      <c r="M17" s="23" t="s">
        <v>1502</v>
      </c>
      <c r="N17" s="23">
        <v>2000</v>
      </c>
      <c r="O17" s="23"/>
      <c r="P17" s="23">
        <v>2601</v>
      </c>
      <c r="Q17" s="24"/>
    </row>
    <row r="18" spans="11:17" x14ac:dyDescent="0.3">
      <c r="K18" s="85" t="s">
        <v>1500</v>
      </c>
      <c r="L18" s="23" t="s">
        <v>363</v>
      </c>
      <c r="M18" s="23" t="s">
        <v>1503</v>
      </c>
      <c r="N18" s="23">
        <v>2000</v>
      </c>
      <c r="O18" s="23"/>
      <c r="P18" s="23">
        <v>581</v>
      </c>
      <c r="Q18" s="24"/>
    </row>
    <row r="19" spans="11:17" x14ac:dyDescent="0.3">
      <c r="K19" s="85" t="s">
        <v>1500</v>
      </c>
      <c r="L19" s="23" t="s">
        <v>363</v>
      </c>
      <c r="M19" s="23" t="s">
        <v>1504</v>
      </c>
      <c r="N19" s="23">
        <v>2000</v>
      </c>
      <c r="O19" s="23"/>
      <c r="P19" s="23">
        <v>324</v>
      </c>
      <c r="Q19" s="24"/>
    </row>
    <row r="20" spans="11:17" x14ac:dyDescent="0.3">
      <c r="K20" s="85" t="s">
        <v>1500</v>
      </c>
      <c r="L20" s="23" t="s">
        <v>363</v>
      </c>
      <c r="M20" s="23" t="s">
        <v>1505</v>
      </c>
      <c r="N20" s="23">
        <v>2000</v>
      </c>
      <c r="O20" s="23"/>
      <c r="P20" s="23">
        <v>1696</v>
      </c>
      <c r="Q20" s="24"/>
    </row>
    <row r="21" spans="11:17" x14ac:dyDescent="0.3">
      <c r="K21" s="85" t="s">
        <v>1500</v>
      </c>
      <c r="L21" s="23" t="s">
        <v>363</v>
      </c>
      <c r="M21" s="23" t="s">
        <v>1506</v>
      </c>
      <c r="N21" s="23">
        <v>2000</v>
      </c>
      <c r="O21" s="23">
        <v>137</v>
      </c>
      <c r="P21" s="23">
        <v>112</v>
      </c>
      <c r="Q21" s="24"/>
    </row>
    <row r="22" spans="11:17" x14ac:dyDescent="0.3">
      <c r="K22" s="85" t="s">
        <v>1500</v>
      </c>
      <c r="L22" s="23" t="s">
        <v>363</v>
      </c>
      <c r="M22" s="23" t="s">
        <v>1507</v>
      </c>
      <c r="N22" s="23">
        <v>2000</v>
      </c>
      <c r="O22" s="23">
        <v>144</v>
      </c>
      <c r="P22" s="23">
        <v>106</v>
      </c>
      <c r="Q22" s="24"/>
    </row>
    <row r="23" spans="11:17" x14ac:dyDescent="0.3">
      <c r="K23" s="85" t="s">
        <v>1500</v>
      </c>
      <c r="L23" s="23" t="s">
        <v>363</v>
      </c>
      <c r="M23" s="23" t="s">
        <v>1508</v>
      </c>
      <c r="N23" s="23">
        <v>2000</v>
      </c>
      <c r="O23" s="23">
        <v>176</v>
      </c>
      <c r="P23" s="23">
        <v>157</v>
      </c>
      <c r="Q23" s="24"/>
    </row>
    <row r="24" spans="11:17" x14ac:dyDescent="0.3">
      <c r="K24" s="85" t="s">
        <v>1500</v>
      </c>
      <c r="L24" s="23" t="s">
        <v>363</v>
      </c>
      <c r="M24" s="23" t="s">
        <v>1509</v>
      </c>
      <c r="N24" s="23">
        <v>2000</v>
      </c>
      <c r="O24" s="23">
        <v>105</v>
      </c>
      <c r="P24" s="23">
        <v>61</v>
      </c>
      <c r="Q24" s="24"/>
    </row>
    <row r="25" spans="11:17" x14ac:dyDescent="0.3">
      <c r="K25" s="85" t="s">
        <v>1510</v>
      </c>
      <c r="L25" s="23" t="s">
        <v>363</v>
      </c>
      <c r="M25" s="23" t="s">
        <v>1501</v>
      </c>
      <c r="N25" s="23">
        <v>2000</v>
      </c>
      <c r="O25" s="23"/>
      <c r="P25" s="23">
        <v>7063</v>
      </c>
      <c r="Q25" s="24"/>
    </row>
    <row r="26" spans="11:17" x14ac:dyDescent="0.3">
      <c r="K26" s="85" t="s">
        <v>1510</v>
      </c>
      <c r="L26" s="23" t="s">
        <v>363</v>
      </c>
      <c r="M26" s="23" t="s">
        <v>1502</v>
      </c>
      <c r="N26" s="23">
        <v>2000</v>
      </c>
      <c r="O26" s="23"/>
      <c r="P26" s="23">
        <v>3871</v>
      </c>
      <c r="Q26" s="24"/>
    </row>
    <row r="27" spans="11:17" x14ac:dyDescent="0.3">
      <c r="K27" s="85" t="s">
        <v>1510</v>
      </c>
      <c r="L27" s="23" t="s">
        <v>363</v>
      </c>
      <c r="M27" s="23" t="s">
        <v>1503</v>
      </c>
      <c r="N27" s="23">
        <v>2000</v>
      </c>
      <c r="O27" s="23"/>
      <c r="P27" s="23">
        <v>1120</v>
      </c>
      <c r="Q27" s="24"/>
    </row>
    <row r="28" spans="11:17" x14ac:dyDescent="0.3">
      <c r="K28" s="85" t="s">
        <v>1510</v>
      </c>
      <c r="L28" s="23" t="s">
        <v>363</v>
      </c>
      <c r="M28" s="23" t="s">
        <v>1504</v>
      </c>
      <c r="N28" s="23">
        <v>2000</v>
      </c>
      <c r="O28" s="23"/>
      <c r="P28" s="23">
        <v>421</v>
      </c>
      <c r="Q28" s="24"/>
    </row>
    <row r="29" spans="11:17" x14ac:dyDescent="0.3">
      <c r="K29" s="85" t="s">
        <v>1510</v>
      </c>
      <c r="L29" s="23" t="s">
        <v>363</v>
      </c>
      <c r="M29" s="23" t="s">
        <v>1505</v>
      </c>
      <c r="N29" s="23">
        <v>2000</v>
      </c>
      <c r="O29" s="23"/>
      <c r="P29" s="23">
        <v>2330</v>
      </c>
      <c r="Q29" s="24"/>
    </row>
    <row r="30" spans="11:17" x14ac:dyDescent="0.3">
      <c r="K30" s="85" t="s">
        <v>1510</v>
      </c>
      <c r="L30" s="23" t="s">
        <v>363</v>
      </c>
      <c r="M30" s="23" t="s">
        <v>1506</v>
      </c>
      <c r="N30" s="23">
        <v>2000</v>
      </c>
      <c r="O30" s="23">
        <v>138</v>
      </c>
      <c r="P30" s="23">
        <v>151</v>
      </c>
      <c r="Q30" s="24"/>
    </row>
    <row r="31" spans="11:17" x14ac:dyDescent="0.3">
      <c r="K31" s="85" t="s">
        <v>1510</v>
      </c>
      <c r="L31" s="23" t="s">
        <v>363</v>
      </c>
      <c r="M31" s="23" t="s">
        <v>1507</v>
      </c>
      <c r="N31" s="23">
        <v>2000</v>
      </c>
      <c r="O31" s="23">
        <v>145</v>
      </c>
      <c r="P31" s="23">
        <v>96</v>
      </c>
      <c r="Q31" s="24"/>
    </row>
    <row r="32" spans="11:17" x14ac:dyDescent="0.3">
      <c r="K32" s="85" t="s">
        <v>1510</v>
      </c>
      <c r="L32" s="23" t="s">
        <v>363</v>
      </c>
      <c r="M32" s="23" t="s">
        <v>1508</v>
      </c>
      <c r="N32" s="23">
        <v>2000</v>
      </c>
      <c r="O32" s="23">
        <v>177</v>
      </c>
      <c r="P32" s="23">
        <v>296</v>
      </c>
      <c r="Q32" s="24"/>
    </row>
    <row r="33" spans="11:17" x14ac:dyDescent="0.3">
      <c r="K33" s="85" t="s">
        <v>1510</v>
      </c>
      <c r="L33" s="23" t="s">
        <v>363</v>
      </c>
      <c r="M33" s="23" t="s">
        <v>1509</v>
      </c>
      <c r="N33" s="23">
        <v>2000</v>
      </c>
      <c r="O33" s="23">
        <v>106</v>
      </c>
      <c r="P33" s="23">
        <v>-49</v>
      </c>
      <c r="Q33" s="24"/>
    </row>
    <row r="34" spans="11:17" x14ac:dyDescent="0.3">
      <c r="K34" s="85" t="s">
        <v>1500</v>
      </c>
      <c r="L34" s="23" t="s">
        <v>363</v>
      </c>
      <c r="M34" s="23" t="s">
        <v>1501</v>
      </c>
      <c r="N34" s="23">
        <v>1999</v>
      </c>
      <c r="O34" s="23"/>
      <c r="P34" s="23">
        <v>2620</v>
      </c>
      <c r="Q34" s="24"/>
    </row>
    <row r="35" spans="11:17" x14ac:dyDescent="0.3">
      <c r="K35" s="85" t="s">
        <v>1500</v>
      </c>
      <c r="L35" s="23" t="s">
        <v>363</v>
      </c>
      <c r="M35" s="23" t="s">
        <v>1502</v>
      </c>
      <c r="N35" s="23">
        <v>1999</v>
      </c>
      <c r="O35" s="23"/>
      <c r="P35" s="23">
        <v>1237</v>
      </c>
      <c r="Q35" s="24"/>
    </row>
    <row r="36" spans="11:17" x14ac:dyDescent="0.3">
      <c r="K36" s="85" t="s">
        <v>1500</v>
      </c>
      <c r="L36" s="23" t="s">
        <v>363</v>
      </c>
      <c r="M36" s="23" t="s">
        <v>1503</v>
      </c>
      <c r="N36" s="23">
        <v>1999</v>
      </c>
      <c r="O36" s="23"/>
      <c r="P36" s="23">
        <v>887</v>
      </c>
      <c r="Q36" s="24"/>
    </row>
    <row r="37" spans="11:17" x14ac:dyDescent="0.3">
      <c r="K37" s="85" t="s">
        <v>1500</v>
      </c>
      <c r="L37" s="23" t="s">
        <v>363</v>
      </c>
      <c r="M37" s="23" t="s">
        <v>1504</v>
      </c>
      <c r="N37" s="23">
        <v>1999</v>
      </c>
      <c r="O37" s="23"/>
      <c r="P37" s="23">
        <v>289</v>
      </c>
      <c r="Q37" s="24"/>
    </row>
    <row r="38" spans="11:17" x14ac:dyDescent="0.3">
      <c r="K38" s="85" t="s">
        <v>1500</v>
      </c>
      <c r="L38" s="23" t="s">
        <v>363</v>
      </c>
      <c r="M38" s="23" t="s">
        <v>1505</v>
      </c>
      <c r="N38" s="23">
        <v>1999</v>
      </c>
      <c r="O38" s="23"/>
      <c r="P38" s="23">
        <v>61</v>
      </c>
      <c r="Q38" s="24"/>
    </row>
    <row r="39" spans="11:17" x14ac:dyDescent="0.3">
      <c r="K39" s="85" t="s">
        <v>1500</v>
      </c>
      <c r="L39" s="23" t="s">
        <v>363</v>
      </c>
      <c r="M39" s="23" t="s">
        <v>1506</v>
      </c>
      <c r="N39" s="23">
        <v>1999</v>
      </c>
      <c r="O39" s="23">
        <v>195</v>
      </c>
      <c r="P39" s="23">
        <v>115</v>
      </c>
      <c r="Q39" s="24"/>
    </row>
    <row r="40" spans="11:17" x14ac:dyDescent="0.3">
      <c r="K40" s="85" t="s">
        <v>1500</v>
      </c>
      <c r="L40" s="23" t="s">
        <v>363</v>
      </c>
      <c r="M40" s="23" t="s">
        <v>1507</v>
      </c>
      <c r="N40" s="23">
        <v>1999</v>
      </c>
      <c r="O40" s="23">
        <v>202</v>
      </c>
      <c r="P40" s="23">
        <v>94</v>
      </c>
      <c r="Q40" s="24"/>
    </row>
    <row r="41" spans="11:17" x14ac:dyDescent="0.3">
      <c r="K41" s="85" t="s">
        <v>1500</v>
      </c>
      <c r="L41" s="23" t="s">
        <v>363</v>
      </c>
      <c r="M41" s="23" t="s">
        <v>1508</v>
      </c>
      <c r="N41" s="23">
        <v>1999</v>
      </c>
      <c r="O41" s="23">
        <v>234</v>
      </c>
      <c r="P41" s="23">
        <v>96</v>
      </c>
      <c r="Q41" s="24"/>
    </row>
    <row r="42" spans="11:17" x14ac:dyDescent="0.3">
      <c r="K42" s="85" t="s">
        <v>1500</v>
      </c>
      <c r="L42" s="23" t="s">
        <v>363</v>
      </c>
      <c r="M42" s="23" t="s">
        <v>1509</v>
      </c>
      <c r="N42" s="23">
        <v>1999</v>
      </c>
      <c r="O42" s="23">
        <v>163</v>
      </c>
      <c r="P42" s="23">
        <v>113</v>
      </c>
      <c r="Q42" s="24"/>
    </row>
    <row r="43" spans="11:17" x14ac:dyDescent="0.3">
      <c r="K43" s="85" t="s">
        <v>1510</v>
      </c>
      <c r="L43" s="23" t="s">
        <v>363</v>
      </c>
      <c r="M43" s="23" t="s">
        <v>1501</v>
      </c>
      <c r="N43" s="23">
        <v>1999</v>
      </c>
      <c r="O43" s="23"/>
      <c r="P43" s="23">
        <v>7436</v>
      </c>
      <c r="Q43" s="24"/>
    </row>
    <row r="44" spans="11:17" x14ac:dyDescent="0.3">
      <c r="K44" s="85" t="s">
        <v>1510</v>
      </c>
      <c r="L44" s="23" t="s">
        <v>363</v>
      </c>
      <c r="M44" s="23" t="s">
        <v>1502</v>
      </c>
      <c r="N44" s="23">
        <v>1999</v>
      </c>
      <c r="O44" s="23"/>
      <c r="P44" s="23">
        <v>2027</v>
      </c>
      <c r="Q44" s="24"/>
    </row>
    <row r="45" spans="11:17" x14ac:dyDescent="0.3">
      <c r="K45" s="85" t="s">
        <v>1510</v>
      </c>
      <c r="L45" s="23" t="s">
        <v>363</v>
      </c>
      <c r="M45" s="23" t="s">
        <v>1503</v>
      </c>
      <c r="N45" s="23">
        <v>1999</v>
      </c>
      <c r="O45" s="23"/>
      <c r="P45" s="23">
        <v>1225</v>
      </c>
      <c r="Q45" s="24"/>
    </row>
    <row r="46" spans="11:17" x14ac:dyDescent="0.3">
      <c r="K46" s="85" t="s">
        <v>1510</v>
      </c>
      <c r="L46" s="23" t="s">
        <v>363</v>
      </c>
      <c r="M46" s="23" t="s">
        <v>1504</v>
      </c>
      <c r="N46" s="23">
        <v>1999</v>
      </c>
      <c r="O46" s="23"/>
      <c r="P46" s="23">
        <v>348</v>
      </c>
      <c r="Q46" s="24"/>
    </row>
    <row r="47" spans="11:17" x14ac:dyDescent="0.3">
      <c r="K47" s="85" t="s">
        <v>1510</v>
      </c>
      <c r="L47" s="23" t="s">
        <v>363</v>
      </c>
      <c r="M47" s="23" t="s">
        <v>1505</v>
      </c>
      <c r="N47" s="23">
        <v>1999</v>
      </c>
      <c r="O47" s="23"/>
      <c r="P47" s="23">
        <v>454</v>
      </c>
      <c r="Q47" s="24"/>
    </row>
    <row r="48" spans="11:17" x14ac:dyDescent="0.3">
      <c r="K48" s="85" t="s">
        <v>1510</v>
      </c>
      <c r="L48" s="23" t="s">
        <v>363</v>
      </c>
      <c r="M48" s="23" t="s">
        <v>1506</v>
      </c>
      <c r="N48" s="23">
        <v>1999</v>
      </c>
      <c r="O48" s="23">
        <v>196</v>
      </c>
      <c r="P48" s="23">
        <v>209</v>
      </c>
      <c r="Q48" s="24"/>
    </row>
    <row r="49" spans="11:17" x14ac:dyDescent="0.3">
      <c r="K49" s="85" t="s">
        <v>1510</v>
      </c>
      <c r="L49" s="23" t="s">
        <v>363</v>
      </c>
      <c r="M49" s="23" t="s">
        <v>1507</v>
      </c>
      <c r="N49" s="23">
        <v>1999</v>
      </c>
      <c r="O49" s="23">
        <v>203</v>
      </c>
      <c r="P49" s="23">
        <v>125</v>
      </c>
      <c r="Q49" s="24"/>
    </row>
    <row r="50" spans="11:17" x14ac:dyDescent="0.3">
      <c r="K50" s="85" t="s">
        <v>1510</v>
      </c>
      <c r="L50" s="23" t="s">
        <v>363</v>
      </c>
      <c r="M50" s="23" t="s">
        <v>1508</v>
      </c>
      <c r="N50" s="23">
        <v>1999</v>
      </c>
      <c r="O50" s="23">
        <v>235</v>
      </c>
      <c r="P50" s="23">
        <v>45</v>
      </c>
      <c r="Q50" s="24"/>
    </row>
    <row r="51" spans="11:17" x14ac:dyDescent="0.3">
      <c r="K51" s="85" t="s">
        <v>1510</v>
      </c>
      <c r="L51" s="23" t="s">
        <v>363</v>
      </c>
      <c r="M51" s="23" t="s">
        <v>1509</v>
      </c>
      <c r="N51" s="23">
        <v>1999</v>
      </c>
      <c r="O51" s="23">
        <v>164</v>
      </c>
      <c r="P51" s="23">
        <v>289</v>
      </c>
      <c r="Q51" s="24"/>
    </row>
    <row r="52" spans="11:17" x14ac:dyDescent="0.3">
      <c r="K52" s="85" t="s">
        <v>1500</v>
      </c>
      <c r="L52" s="23" t="s">
        <v>363</v>
      </c>
      <c r="M52" s="23" t="s">
        <v>1501</v>
      </c>
      <c r="N52" s="23">
        <v>1998</v>
      </c>
      <c r="O52" s="23"/>
      <c r="P52" s="23">
        <v>2820</v>
      </c>
      <c r="Q52" s="24"/>
    </row>
    <row r="53" spans="11:17" x14ac:dyDescent="0.3">
      <c r="K53" s="85" t="s">
        <v>1500</v>
      </c>
      <c r="L53" s="23" t="s">
        <v>363</v>
      </c>
      <c r="M53" s="23" t="s">
        <v>1502</v>
      </c>
      <c r="N53" s="23">
        <v>1998</v>
      </c>
      <c r="O53" s="23"/>
      <c r="P53" s="23">
        <v>1551</v>
      </c>
      <c r="Q53" s="24"/>
    </row>
    <row r="54" spans="11:17" x14ac:dyDescent="0.3">
      <c r="K54" s="85" t="s">
        <v>1500</v>
      </c>
      <c r="L54" s="23" t="s">
        <v>363</v>
      </c>
      <c r="M54" s="23" t="s">
        <v>1503</v>
      </c>
      <c r="N54" s="23">
        <v>1998</v>
      </c>
      <c r="O54" s="23"/>
      <c r="P54" s="23">
        <v>749</v>
      </c>
      <c r="Q54" s="24"/>
    </row>
    <row r="55" spans="11:17" x14ac:dyDescent="0.3">
      <c r="K55" s="85" t="s">
        <v>1500</v>
      </c>
      <c r="L55" s="23" t="s">
        <v>363</v>
      </c>
      <c r="M55" s="23" t="s">
        <v>1504</v>
      </c>
      <c r="N55" s="23">
        <v>1998</v>
      </c>
      <c r="O55" s="23"/>
      <c r="P55" s="23">
        <v>499</v>
      </c>
      <c r="Q55" s="24"/>
    </row>
    <row r="56" spans="11:17" x14ac:dyDescent="0.3">
      <c r="K56" s="85" t="s">
        <v>1500</v>
      </c>
      <c r="L56" s="23" t="s">
        <v>363</v>
      </c>
      <c r="M56" s="23" t="s">
        <v>1505</v>
      </c>
      <c r="N56" s="23">
        <v>1998</v>
      </c>
      <c r="O56" s="23"/>
      <c r="P56" s="23">
        <v>303</v>
      </c>
      <c r="Q56" s="24"/>
    </row>
    <row r="57" spans="11:17" x14ac:dyDescent="0.3">
      <c r="K57" s="85" t="s">
        <v>1500</v>
      </c>
      <c r="L57" s="23" t="s">
        <v>363</v>
      </c>
      <c r="M57" s="23" t="s">
        <v>1506</v>
      </c>
      <c r="N57" s="23">
        <v>1998</v>
      </c>
      <c r="O57" s="23">
        <v>253</v>
      </c>
      <c r="P57" s="23">
        <v>629</v>
      </c>
      <c r="Q57" s="24"/>
    </row>
    <row r="58" spans="11:17" x14ac:dyDescent="0.3">
      <c r="K58" s="85" t="s">
        <v>1500</v>
      </c>
      <c r="L58" s="23" t="s">
        <v>363</v>
      </c>
      <c r="M58" s="23" t="s">
        <v>1507</v>
      </c>
      <c r="N58" s="23">
        <v>1998</v>
      </c>
      <c r="O58" s="23">
        <v>260</v>
      </c>
      <c r="P58" s="23">
        <v>64</v>
      </c>
      <c r="Q58" s="24"/>
    </row>
    <row r="59" spans="11:17" x14ac:dyDescent="0.3">
      <c r="K59" s="85" t="s">
        <v>1500</v>
      </c>
      <c r="L59" s="23" t="s">
        <v>363</v>
      </c>
      <c r="M59" s="23" t="s">
        <v>1508</v>
      </c>
      <c r="N59" s="23">
        <v>1998</v>
      </c>
      <c r="O59" s="23">
        <v>292</v>
      </c>
      <c r="P59" s="23">
        <v>167</v>
      </c>
      <c r="Q59" s="24"/>
    </row>
    <row r="60" spans="11:17" x14ac:dyDescent="0.3">
      <c r="K60" s="85" t="s">
        <v>1500</v>
      </c>
      <c r="L60" s="23" t="s">
        <v>363</v>
      </c>
      <c r="M60" s="23" t="s">
        <v>1509</v>
      </c>
      <c r="N60" s="23">
        <v>1998</v>
      </c>
      <c r="O60" s="23">
        <v>221</v>
      </c>
      <c r="P60" s="23">
        <v>526</v>
      </c>
      <c r="Q60" s="24"/>
    </row>
    <row r="61" spans="11:17" x14ac:dyDescent="0.3">
      <c r="K61" s="85" t="s">
        <v>1510</v>
      </c>
      <c r="L61" s="23" t="s">
        <v>363</v>
      </c>
      <c r="M61" s="23" t="s">
        <v>1501</v>
      </c>
      <c r="N61" s="23">
        <v>1998</v>
      </c>
      <c r="O61" s="23"/>
      <c r="P61" s="23">
        <v>3230</v>
      </c>
      <c r="Q61" s="24"/>
    </row>
    <row r="62" spans="11:17" x14ac:dyDescent="0.3">
      <c r="K62" s="85" t="s">
        <v>1510</v>
      </c>
      <c r="L62" s="23" t="s">
        <v>363</v>
      </c>
      <c r="M62" s="23" t="s">
        <v>1502</v>
      </c>
      <c r="N62" s="23">
        <v>1998</v>
      </c>
      <c r="O62" s="23"/>
      <c r="P62" s="23">
        <v>1292</v>
      </c>
      <c r="Q62" s="24"/>
    </row>
    <row r="63" spans="11:17" x14ac:dyDescent="0.3">
      <c r="K63" s="85" t="s">
        <v>1510</v>
      </c>
      <c r="L63" s="23" t="s">
        <v>363</v>
      </c>
      <c r="M63" s="23" t="s">
        <v>1503</v>
      </c>
      <c r="N63" s="23">
        <v>1998</v>
      </c>
      <c r="O63" s="23"/>
      <c r="P63" s="23">
        <v>543</v>
      </c>
      <c r="Q63" s="24"/>
    </row>
    <row r="64" spans="11:17" x14ac:dyDescent="0.3">
      <c r="K64" s="85" t="s">
        <v>1510</v>
      </c>
      <c r="L64" s="23" t="s">
        <v>363</v>
      </c>
      <c r="M64" s="23" t="s">
        <v>1504</v>
      </c>
      <c r="N64" s="23">
        <v>1998</v>
      </c>
      <c r="O64" s="23"/>
      <c r="P64" s="23">
        <v>310</v>
      </c>
      <c r="Q64" s="24"/>
    </row>
    <row r="65" spans="11:17" x14ac:dyDescent="0.3">
      <c r="K65" s="85" t="s">
        <v>1510</v>
      </c>
      <c r="L65" s="23" t="s">
        <v>363</v>
      </c>
      <c r="M65" s="23" t="s">
        <v>1505</v>
      </c>
      <c r="N65" s="23">
        <v>1998</v>
      </c>
      <c r="O65" s="23"/>
      <c r="P65" s="23">
        <v>439</v>
      </c>
      <c r="Q65" s="24"/>
    </row>
    <row r="66" spans="11:17" x14ac:dyDescent="0.3">
      <c r="K66" s="85" t="s">
        <v>1510</v>
      </c>
      <c r="L66" s="23" t="s">
        <v>363</v>
      </c>
      <c r="M66" s="23" t="s">
        <v>1506</v>
      </c>
      <c r="N66" s="23">
        <v>1998</v>
      </c>
      <c r="O66" s="23">
        <v>254</v>
      </c>
      <c r="P66" s="23">
        <v>232</v>
      </c>
      <c r="Q66" s="24"/>
    </row>
    <row r="67" spans="11:17" x14ac:dyDescent="0.3">
      <c r="K67" s="85" t="s">
        <v>1510</v>
      </c>
      <c r="L67" s="23" t="s">
        <v>363</v>
      </c>
      <c r="M67" s="23" t="s">
        <v>1507</v>
      </c>
      <c r="N67" s="23">
        <v>1998</v>
      </c>
      <c r="O67" s="23">
        <v>261</v>
      </c>
      <c r="P67" s="23">
        <v>75</v>
      </c>
      <c r="Q67" s="24"/>
    </row>
    <row r="68" spans="11:17" x14ac:dyDescent="0.3">
      <c r="K68" s="85" t="s">
        <v>1510</v>
      </c>
      <c r="L68" s="23" t="s">
        <v>363</v>
      </c>
      <c r="M68" s="23" t="s">
        <v>1508</v>
      </c>
      <c r="N68" s="23">
        <v>1998</v>
      </c>
      <c r="O68" s="23">
        <v>293</v>
      </c>
      <c r="P68" s="23">
        <v>719</v>
      </c>
      <c r="Q68" s="24"/>
    </row>
    <row r="69" spans="11:17" x14ac:dyDescent="0.3">
      <c r="K69" s="85" t="s">
        <v>1510</v>
      </c>
      <c r="L69" s="23" t="s">
        <v>363</v>
      </c>
      <c r="M69" s="23" t="s">
        <v>1509</v>
      </c>
      <c r="N69" s="23">
        <v>1998</v>
      </c>
      <c r="O69" s="23">
        <v>222</v>
      </c>
      <c r="P69" s="23">
        <v>-412</v>
      </c>
      <c r="Q69" s="24"/>
    </row>
    <row r="70" spans="11:17" x14ac:dyDescent="0.3">
      <c r="K70" s="85" t="s">
        <v>1500</v>
      </c>
      <c r="L70" s="23" t="s">
        <v>1511</v>
      </c>
      <c r="M70" s="23" t="s">
        <v>1501</v>
      </c>
      <c r="N70" s="23">
        <v>2000</v>
      </c>
      <c r="O70" s="23"/>
      <c r="P70" s="23">
        <v>4650</v>
      </c>
      <c r="Q70" s="24"/>
    </row>
    <row r="71" spans="11:17" x14ac:dyDescent="0.3">
      <c r="K71" s="85" t="s">
        <v>1500</v>
      </c>
      <c r="L71" s="23" t="s">
        <v>1511</v>
      </c>
      <c r="M71" s="23" t="s">
        <v>1502</v>
      </c>
      <c r="N71" s="23">
        <v>2000</v>
      </c>
      <c r="O71" s="23"/>
      <c r="P71" s="23">
        <v>2672</v>
      </c>
      <c r="Q71" s="24"/>
    </row>
    <row r="72" spans="11:17" x14ac:dyDescent="0.3">
      <c r="K72" s="85" t="s">
        <v>1500</v>
      </c>
      <c r="L72" s="23" t="s">
        <v>1511</v>
      </c>
      <c r="M72" s="23" t="s">
        <v>1503</v>
      </c>
      <c r="N72" s="23">
        <v>2000</v>
      </c>
      <c r="O72" s="23"/>
      <c r="P72" s="23">
        <v>1601</v>
      </c>
      <c r="Q72" s="24"/>
    </row>
    <row r="73" spans="11:17" x14ac:dyDescent="0.3">
      <c r="K73" s="85" t="s">
        <v>1500</v>
      </c>
      <c r="L73" s="23" t="s">
        <v>1511</v>
      </c>
      <c r="M73" s="23" t="s">
        <v>1504</v>
      </c>
      <c r="N73" s="23">
        <v>2000</v>
      </c>
      <c r="O73" s="23"/>
      <c r="P73" s="23">
        <v>458</v>
      </c>
      <c r="Q73" s="24"/>
    </row>
    <row r="74" spans="11:17" x14ac:dyDescent="0.3">
      <c r="K74" s="85" t="s">
        <v>1500</v>
      </c>
      <c r="L74" s="23" t="s">
        <v>1511</v>
      </c>
      <c r="M74" s="23" t="s">
        <v>1505</v>
      </c>
      <c r="N74" s="23">
        <v>2000</v>
      </c>
      <c r="O74" s="23"/>
      <c r="P74" s="23">
        <v>613</v>
      </c>
      <c r="Q74" s="24"/>
    </row>
    <row r="75" spans="11:17" x14ac:dyDescent="0.3">
      <c r="K75" s="85" t="s">
        <v>1500</v>
      </c>
      <c r="L75" s="23" t="s">
        <v>1511</v>
      </c>
      <c r="M75" s="23" t="s">
        <v>1506</v>
      </c>
      <c r="N75" s="23">
        <v>2000</v>
      </c>
      <c r="O75" s="23">
        <v>115</v>
      </c>
      <c r="P75" s="23">
        <v>94</v>
      </c>
      <c r="Q75" s="24"/>
    </row>
    <row r="76" spans="11:17" x14ac:dyDescent="0.3">
      <c r="K76" s="85" t="s">
        <v>1500</v>
      </c>
      <c r="L76" s="23" t="s">
        <v>1511</v>
      </c>
      <c r="M76" s="23" t="s">
        <v>1507</v>
      </c>
      <c r="N76" s="23">
        <v>2000</v>
      </c>
      <c r="O76" s="23">
        <v>122</v>
      </c>
      <c r="P76" s="23">
        <v>61</v>
      </c>
      <c r="Q76" s="24"/>
    </row>
    <row r="77" spans="11:17" x14ac:dyDescent="0.3">
      <c r="K77" s="85" t="s">
        <v>1500</v>
      </c>
      <c r="L77" s="23" t="s">
        <v>1511</v>
      </c>
      <c r="M77" s="23" t="s">
        <v>1508</v>
      </c>
      <c r="N77" s="23">
        <v>2000</v>
      </c>
      <c r="O77" s="23">
        <v>154</v>
      </c>
      <c r="P77" s="23">
        <v>51</v>
      </c>
      <c r="Q77" s="24"/>
    </row>
    <row r="78" spans="11:17" x14ac:dyDescent="0.3">
      <c r="K78" s="85" t="s">
        <v>1500</v>
      </c>
      <c r="L78" s="23" t="s">
        <v>1511</v>
      </c>
      <c r="M78" s="23" t="s">
        <v>1509</v>
      </c>
      <c r="N78" s="23">
        <v>2000</v>
      </c>
      <c r="O78" s="23">
        <v>83</v>
      </c>
      <c r="P78" s="23">
        <v>104</v>
      </c>
      <c r="Q78" s="24"/>
    </row>
    <row r="79" spans="11:17" x14ac:dyDescent="0.3">
      <c r="K79" s="85" t="s">
        <v>1510</v>
      </c>
      <c r="L79" s="23" t="s">
        <v>1511</v>
      </c>
      <c r="M79" s="23" t="s">
        <v>1501</v>
      </c>
      <c r="N79" s="23">
        <v>2000</v>
      </c>
      <c r="O79" s="23"/>
      <c r="P79" s="23">
        <v>5523</v>
      </c>
      <c r="Q79" s="24"/>
    </row>
    <row r="80" spans="11:17" x14ac:dyDescent="0.3">
      <c r="K80" s="85" t="s">
        <v>1510</v>
      </c>
      <c r="L80" s="23" t="s">
        <v>1511</v>
      </c>
      <c r="M80" s="23" t="s">
        <v>1502</v>
      </c>
      <c r="N80" s="23">
        <v>2000</v>
      </c>
      <c r="O80" s="23"/>
      <c r="P80" s="23">
        <v>3406</v>
      </c>
      <c r="Q80" s="24"/>
    </row>
    <row r="81" spans="11:17" x14ac:dyDescent="0.3">
      <c r="K81" s="85" t="s">
        <v>1510</v>
      </c>
      <c r="L81" s="23" t="s">
        <v>1511</v>
      </c>
      <c r="M81" s="23" t="s">
        <v>1503</v>
      </c>
      <c r="N81" s="23">
        <v>2000</v>
      </c>
      <c r="O81" s="23"/>
      <c r="P81" s="23">
        <v>1818</v>
      </c>
      <c r="Q81" s="24"/>
    </row>
    <row r="82" spans="11:17" x14ac:dyDescent="0.3">
      <c r="K82" s="85" t="s">
        <v>1510</v>
      </c>
      <c r="L82" s="23" t="s">
        <v>1511</v>
      </c>
      <c r="M82" s="23" t="s">
        <v>1504</v>
      </c>
      <c r="N82" s="23">
        <v>2000</v>
      </c>
      <c r="O82" s="23"/>
      <c r="P82" s="23">
        <v>641</v>
      </c>
      <c r="Q82" s="24"/>
    </row>
    <row r="83" spans="11:17" x14ac:dyDescent="0.3">
      <c r="K83" s="85" t="s">
        <v>1510</v>
      </c>
      <c r="L83" s="23" t="s">
        <v>1511</v>
      </c>
      <c r="M83" s="23" t="s">
        <v>1505</v>
      </c>
      <c r="N83" s="23">
        <v>2000</v>
      </c>
      <c r="O83" s="23"/>
      <c r="P83" s="23">
        <v>947</v>
      </c>
      <c r="Q83" s="24"/>
    </row>
    <row r="84" spans="11:17" x14ac:dyDescent="0.3">
      <c r="K84" s="85" t="s">
        <v>1510</v>
      </c>
      <c r="L84" s="23" t="s">
        <v>1511</v>
      </c>
      <c r="M84" s="23" t="s">
        <v>1506</v>
      </c>
      <c r="N84" s="23">
        <v>2000</v>
      </c>
      <c r="O84" s="23">
        <v>116</v>
      </c>
      <c r="P84" s="23">
        <v>91</v>
      </c>
      <c r="Q84" s="24"/>
    </row>
    <row r="85" spans="11:17" x14ac:dyDescent="0.3">
      <c r="K85" s="85" t="s">
        <v>1510</v>
      </c>
      <c r="L85" s="23" t="s">
        <v>1511</v>
      </c>
      <c r="M85" s="23" t="s">
        <v>1507</v>
      </c>
      <c r="N85" s="23">
        <v>2000</v>
      </c>
      <c r="O85" s="23">
        <v>123</v>
      </c>
      <c r="P85" s="23">
        <v>186</v>
      </c>
      <c r="Q85" s="24"/>
    </row>
    <row r="86" spans="11:17" x14ac:dyDescent="0.3">
      <c r="K86" s="85" t="s">
        <v>1510</v>
      </c>
      <c r="L86" s="23" t="s">
        <v>1511</v>
      </c>
      <c r="M86" s="23" t="s">
        <v>1508</v>
      </c>
      <c r="N86" s="23">
        <v>2000</v>
      </c>
      <c r="O86" s="23">
        <v>155</v>
      </c>
      <c r="P86" s="23">
        <v>102</v>
      </c>
      <c r="Q86" s="24"/>
    </row>
    <row r="87" spans="11:17" x14ac:dyDescent="0.3">
      <c r="K87" s="85" t="s">
        <v>1510</v>
      </c>
      <c r="L87" s="23" t="s">
        <v>1511</v>
      </c>
      <c r="M87" s="23" t="s">
        <v>1509</v>
      </c>
      <c r="N87" s="23">
        <v>2000</v>
      </c>
      <c r="O87" s="23">
        <v>84</v>
      </c>
      <c r="P87" s="23">
        <v>175</v>
      </c>
      <c r="Q87" s="24"/>
    </row>
    <row r="88" spans="11:17" x14ac:dyDescent="0.3">
      <c r="K88" s="85" t="s">
        <v>1500</v>
      </c>
      <c r="L88" s="23" t="s">
        <v>1511</v>
      </c>
      <c r="M88" s="23" t="s">
        <v>1501</v>
      </c>
      <c r="N88" s="23">
        <v>1999</v>
      </c>
      <c r="O88" s="23"/>
      <c r="P88" s="23">
        <v>5233</v>
      </c>
      <c r="Q88" s="24"/>
    </row>
    <row r="89" spans="11:17" x14ac:dyDescent="0.3">
      <c r="K89" s="85" t="s">
        <v>1500</v>
      </c>
      <c r="L89" s="23" t="s">
        <v>1511</v>
      </c>
      <c r="M89" s="23" t="s">
        <v>1502</v>
      </c>
      <c r="N89" s="23">
        <v>1999</v>
      </c>
      <c r="O89" s="23"/>
      <c r="P89" s="23">
        <v>2486</v>
      </c>
      <c r="Q89" s="24"/>
    </row>
    <row r="90" spans="11:17" x14ac:dyDescent="0.3">
      <c r="K90" s="85" t="s">
        <v>1500</v>
      </c>
      <c r="L90" s="23" t="s">
        <v>1511</v>
      </c>
      <c r="M90" s="23" t="s">
        <v>1503</v>
      </c>
      <c r="N90" s="23">
        <v>1999</v>
      </c>
      <c r="O90" s="23"/>
      <c r="P90" s="23">
        <v>902</v>
      </c>
      <c r="Q90" s="24"/>
    </row>
    <row r="91" spans="11:17" x14ac:dyDescent="0.3">
      <c r="K91" s="85" t="s">
        <v>1500</v>
      </c>
      <c r="L91" s="23" t="s">
        <v>1511</v>
      </c>
      <c r="M91" s="23" t="s">
        <v>1504</v>
      </c>
      <c r="N91" s="23">
        <v>1999</v>
      </c>
      <c r="O91" s="23"/>
      <c r="P91" s="23">
        <v>365</v>
      </c>
      <c r="Q91" s="24"/>
    </row>
    <row r="92" spans="11:17" x14ac:dyDescent="0.3">
      <c r="K92" s="85" t="s">
        <v>1500</v>
      </c>
      <c r="L92" s="23" t="s">
        <v>1511</v>
      </c>
      <c r="M92" s="23" t="s">
        <v>1505</v>
      </c>
      <c r="N92" s="23">
        <v>1999</v>
      </c>
      <c r="O92" s="23"/>
      <c r="P92" s="23">
        <v>1219</v>
      </c>
      <c r="Q92" s="24"/>
    </row>
    <row r="93" spans="11:17" x14ac:dyDescent="0.3">
      <c r="K93" s="85" t="s">
        <v>1500</v>
      </c>
      <c r="L93" s="23" t="s">
        <v>1511</v>
      </c>
      <c r="M93" s="23" t="s">
        <v>1506</v>
      </c>
      <c r="N93" s="23">
        <v>1999</v>
      </c>
      <c r="O93" s="23">
        <v>173</v>
      </c>
      <c r="P93" s="23">
        <v>81</v>
      </c>
      <c r="Q93" s="24"/>
    </row>
    <row r="94" spans="11:17" x14ac:dyDescent="0.3">
      <c r="K94" s="85" t="s">
        <v>1500</v>
      </c>
      <c r="L94" s="23" t="s">
        <v>1511</v>
      </c>
      <c r="M94" s="23" t="s">
        <v>1507</v>
      </c>
      <c r="N94" s="23">
        <v>1999</v>
      </c>
      <c r="O94" s="23">
        <v>180</v>
      </c>
      <c r="P94" s="23">
        <v>279</v>
      </c>
      <c r="Q94" s="24"/>
    </row>
    <row r="95" spans="11:17" x14ac:dyDescent="0.3">
      <c r="K95" s="85" t="s">
        <v>1500</v>
      </c>
      <c r="L95" s="23" t="s">
        <v>1511</v>
      </c>
      <c r="M95" s="23" t="s">
        <v>1508</v>
      </c>
      <c r="N95" s="23">
        <v>1999</v>
      </c>
      <c r="O95" s="23">
        <v>212</v>
      </c>
      <c r="P95" s="23">
        <v>246</v>
      </c>
      <c r="Q95" s="24"/>
    </row>
    <row r="96" spans="11:17" x14ac:dyDescent="0.3">
      <c r="K96" s="85" t="s">
        <v>1500</v>
      </c>
      <c r="L96" s="23" t="s">
        <v>1511</v>
      </c>
      <c r="M96" s="23" t="s">
        <v>1509</v>
      </c>
      <c r="N96" s="23">
        <v>1999</v>
      </c>
      <c r="O96" s="23">
        <v>141</v>
      </c>
      <c r="P96" s="23">
        <v>114</v>
      </c>
      <c r="Q96" s="24"/>
    </row>
    <row r="97" spans="11:17" x14ac:dyDescent="0.3">
      <c r="K97" s="85" t="s">
        <v>1510</v>
      </c>
      <c r="L97" s="23" t="s">
        <v>1511</v>
      </c>
      <c r="M97" s="23" t="s">
        <v>1501</v>
      </c>
      <c r="N97" s="23">
        <v>1999</v>
      </c>
      <c r="O97" s="23"/>
      <c r="P97" s="23">
        <v>10635</v>
      </c>
      <c r="Q97" s="24"/>
    </row>
    <row r="98" spans="11:17" x14ac:dyDescent="0.3">
      <c r="K98" s="85" t="s">
        <v>1510</v>
      </c>
      <c r="L98" s="23" t="s">
        <v>1511</v>
      </c>
      <c r="M98" s="23" t="s">
        <v>1502</v>
      </c>
      <c r="N98" s="23">
        <v>1999</v>
      </c>
      <c r="O98" s="23"/>
      <c r="P98" s="23">
        <v>7705</v>
      </c>
      <c r="Q98" s="24"/>
    </row>
    <row r="99" spans="11:17" x14ac:dyDescent="0.3">
      <c r="K99" s="85" t="s">
        <v>1510</v>
      </c>
      <c r="L99" s="23" t="s">
        <v>1511</v>
      </c>
      <c r="M99" s="23" t="s">
        <v>1503</v>
      </c>
      <c r="N99" s="23">
        <v>1999</v>
      </c>
      <c r="O99" s="23"/>
      <c r="P99" s="23">
        <v>5218</v>
      </c>
      <c r="Q99" s="24"/>
    </row>
    <row r="100" spans="11:17" x14ac:dyDescent="0.3">
      <c r="K100" s="85" t="s">
        <v>1510</v>
      </c>
      <c r="L100" s="23" t="s">
        <v>1511</v>
      </c>
      <c r="M100" s="23" t="s">
        <v>1504</v>
      </c>
      <c r="N100" s="23">
        <v>1999</v>
      </c>
      <c r="O100" s="23"/>
      <c r="P100" s="23">
        <v>4586</v>
      </c>
      <c r="Q100" s="24"/>
    </row>
    <row r="101" spans="11:17" x14ac:dyDescent="0.3">
      <c r="K101" s="85" t="s">
        <v>1510</v>
      </c>
      <c r="L101" s="23" t="s">
        <v>1511</v>
      </c>
      <c r="M101" s="23" t="s">
        <v>1505</v>
      </c>
      <c r="N101" s="23">
        <v>1999</v>
      </c>
      <c r="O101" s="23"/>
      <c r="P101" s="23">
        <v>-2099</v>
      </c>
      <c r="Q101" s="24"/>
    </row>
    <row r="102" spans="11:17" x14ac:dyDescent="0.3">
      <c r="K102" s="85" t="s">
        <v>1510</v>
      </c>
      <c r="L102" s="23" t="s">
        <v>1511</v>
      </c>
      <c r="M102" s="23" t="s">
        <v>1506</v>
      </c>
      <c r="N102" s="23">
        <v>1999</v>
      </c>
      <c r="O102" s="23">
        <v>174</v>
      </c>
      <c r="P102" s="23">
        <v>260</v>
      </c>
      <c r="Q102" s="24"/>
    </row>
    <row r="103" spans="11:17" x14ac:dyDescent="0.3">
      <c r="K103" s="85" t="s">
        <v>1510</v>
      </c>
      <c r="L103" s="23" t="s">
        <v>1511</v>
      </c>
      <c r="M103" s="23" t="s">
        <v>1507</v>
      </c>
      <c r="N103" s="23">
        <v>1999</v>
      </c>
      <c r="O103" s="23">
        <v>181</v>
      </c>
      <c r="P103" s="23">
        <v>279</v>
      </c>
      <c r="Q103" s="24"/>
    </row>
    <row r="104" spans="11:17" x14ac:dyDescent="0.3">
      <c r="K104" s="85" t="s">
        <v>1510</v>
      </c>
      <c r="L104" s="23" t="s">
        <v>1511</v>
      </c>
      <c r="M104" s="23" t="s">
        <v>1508</v>
      </c>
      <c r="N104" s="23">
        <v>1999</v>
      </c>
      <c r="O104" s="23">
        <v>213</v>
      </c>
      <c r="P104" s="23">
        <v>133</v>
      </c>
      <c r="Q104" s="24"/>
    </row>
    <row r="105" spans="11:17" x14ac:dyDescent="0.3">
      <c r="K105" s="85" t="s">
        <v>1510</v>
      </c>
      <c r="L105" s="23" t="s">
        <v>1511</v>
      </c>
      <c r="M105" s="23" t="s">
        <v>1509</v>
      </c>
      <c r="N105" s="23">
        <v>1999</v>
      </c>
      <c r="O105" s="23">
        <v>142</v>
      </c>
      <c r="P105" s="23">
        <v>406</v>
      </c>
      <c r="Q105" s="24"/>
    </row>
    <row r="106" spans="11:17" x14ac:dyDescent="0.3">
      <c r="K106" s="85" t="s">
        <v>1500</v>
      </c>
      <c r="L106" s="23" t="s">
        <v>1511</v>
      </c>
      <c r="M106" s="23" t="s">
        <v>1501</v>
      </c>
      <c r="N106" s="23">
        <v>1998</v>
      </c>
      <c r="O106" s="23"/>
      <c r="P106" s="23">
        <v>3762</v>
      </c>
      <c r="Q106" s="24"/>
    </row>
    <row r="107" spans="11:17" x14ac:dyDescent="0.3">
      <c r="K107" s="85" t="s">
        <v>1500</v>
      </c>
      <c r="L107" s="23" t="s">
        <v>1511</v>
      </c>
      <c r="M107" s="23" t="s">
        <v>1502</v>
      </c>
      <c r="N107" s="23">
        <v>1998</v>
      </c>
      <c r="O107" s="23"/>
      <c r="P107" s="23">
        <v>1122</v>
      </c>
      <c r="Q107" s="24"/>
    </row>
    <row r="108" spans="11:17" x14ac:dyDescent="0.3">
      <c r="K108" s="85" t="s">
        <v>1500</v>
      </c>
      <c r="L108" s="23" t="s">
        <v>1511</v>
      </c>
      <c r="M108" s="23" t="s">
        <v>1503</v>
      </c>
      <c r="N108" s="23">
        <v>1998</v>
      </c>
      <c r="O108" s="23"/>
      <c r="P108" s="23">
        <v>926</v>
      </c>
      <c r="Q108" s="24"/>
    </row>
    <row r="109" spans="11:17" x14ac:dyDescent="0.3">
      <c r="K109" s="85" t="s">
        <v>1500</v>
      </c>
      <c r="L109" s="23" t="s">
        <v>1511</v>
      </c>
      <c r="M109" s="23" t="s">
        <v>1504</v>
      </c>
      <c r="N109" s="23">
        <v>1998</v>
      </c>
      <c r="O109" s="23"/>
      <c r="P109" s="23">
        <v>577</v>
      </c>
      <c r="Q109" s="24"/>
    </row>
    <row r="110" spans="11:17" x14ac:dyDescent="0.3">
      <c r="K110" s="85" t="s">
        <v>1500</v>
      </c>
      <c r="L110" s="23" t="s">
        <v>1511</v>
      </c>
      <c r="M110" s="23" t="s">
        <v>1505</v>
      </c>
      <c r="N110" s="23">
        <v>1998</v>
      </c>
      <c r="O110" s="23"/>
      <c r="P110" s="23">
        <v>-381</v>
      </c>
      <c r="Q110" s="24"/>
    </row>
    <row r="111" spans="11:17" x14ac:dyDescent="0.3">
      <c r="K111" s="85" t="s">
        <v>1500</v>
      </c>
      <c r="L111" s="23" t="s">
        <v>1511</v>
      </c>
      <c r="M111" s="23" t="s">
        <v>1506</v>
      </c>
      <c r="N111" s="23">
        <v>1998</v>
      </c>
      <c r="O111" s="23">
        <v>231</v>
      </c>
      <c r="P111" s="23">
        <v>273</v>
      </c>
      <c r="Q111" s="24"/>
    </row>
    <row r="112" spans="11:17" x14ac:dyDescent="0.3">
      <c r="K112" s="85" t="s">
        <v>1500</v>
      </c>
      <c r="L112" s="23" t="s">
        <v>1511</v>
      </c>
      <c r="M112" s="23" t="s">
        <v>1507</v>
      </c>
      <c r="N112" s="23">
        <v>1998</v>
      </c>
      <c r="O112" s="23">
        <v>238</v>
      </c>
      <c r="P112" s="23">
        <v>292</v>
      </c>
      <c r="Q112" s="24"/>
    </row>
    <row r="113" spans="11:17" x14ac:dyDescent="0.3">
      <c r="K113" s="85" t="s">
        <v>1500</v>
      </c>
      <c r="L113" s="23" t="s">
        <v>1511</v>
      </c>
      <c r="M113" s="23" t="s">
        <v>1508</v>
      </c>
      <c r="N113" s="23">
        <v>1998</v>
      </c>
      <c r="O113" s="23">
        <v>270</v>
      </c>
      <c r="P113" s="23">
        <v>316</v>
      </c>
      <c r="Q113" s="24"/>
    </row>
    <row r="114" spans="11:17" x14ac:dyDescent="0.3">
      <c r="K114" s="85" t="s">
        <v>1500</v>
      </c>
      <c r="L114" s="23" t="s">
        <v>1511</v>
      </c>
      <c r="M114" s="23" t="s">
        <v>1509</v>
      </c>
      <c r="N114" s="23">
        <v>1998</v>
      </c>
      <c r="O114" s="23">
        <v>199</v>
      </c>
      <c r="P114" s="23">
        <v>249</v>
      </c>
      <c r="Q114" s="24"/>
    </row>
    <row r="115" spans="11:17" x14ac:dyDescent="0.3">
      <c r="K115" s="85" t="s">
        <v>1510</v>
      </c>
      <c r="L115" s="23" t="s">
        <v>1511</v>
      </c>
      <c r="M115" s="23" t="s">
        <v>1501</v>
      </c>
      <c r="N115" s="23">
        <v>1998</v>
      </c>
      <c r="O115" s="23"/>
      <c r="P115" s="23">
        <v>6011</v>
      </c>
      <c r="Q115" s="24"/>
    </row>
    <row r="116" spans="11:17" x14ac:dyDescent="0.3">
      <c r="K116" s="85" t="s">
        <v>1510</v>
      </c>
      <c r="L116" s="23" t="s">
        <v>1511</v>
      </c>
      <c r="M116" s="23" t="s">
        <v>1502</v>
      </c>
      <c r="N116" s="23">
        <v>1998</v>
      </c>
      <c r="O116" s="23"/>
      <c r="P116" s="23">
        <v>2148</v>
      </c>
      <c r="Q116" s="24"/>
    </row>
    <row r="117" spans="11:17" x14ac:dyDescent="0.3">
      <c r="K117" s="85" t="s">
        <v>1510</v>
      </c>
      <c r="L117" s="23" t="s">
        <v>1511</v>
      </c>
      <c r="M117" s="23" t="s">
        <v>1503</v>
      </c>
      <c r="N117" s="23">
        <v>1998</v>
      </c>
      <c r="O117" s="23"/>
      <c r="P117" s="23">
        <v>1452</v>
      </c>
      <c r="Q117" s="24"/>
    </row>
    <row r="118" spans="11:17" x14ac:dyDescent="0.3">
      <c r="K118" s="85" t="s">
        <v>1510</v>
      </c>
      <c r="L118" s="23" t="s">
        <v>1511</v>
      </c>
      <c r="M118" s="23" t="s">
        <v>1504</v>
      </c>
      <c r="N118" s="23">
        <v>1998</v>
      </c>
      <c r="O118" s="23"/>
      <c r="P118" s="23">
        <v>930</v>
      </c>
      <c r="Q118" s="24"/>
    </row>
    <row r="119" spans="11:17" x14ac:dyDescent="0.3">
      <c r="K119" s="85" t="s">
        <v>1510</v>
      </c>
      <c r="L119" s="23" t="s">
        <v>1511</v>
      </c>
      <c r="M119" s="23" t="s">
        <v>1505</v>
      </c>
      <c r="N119" s="23">
        <v>1998</v>
      </c>
      <c r="O119" s="23"/>
      <c r="P119" s="23">
        <v>-234</v>
      </c>
      <c r="Q119" s="24"/>
    </row>
    <row r="120" spans="11:17" x14ac:dyDescent="0.3">
      <c r="K120" s="85" t="s">
        <v>1510</v>
      </c>
      <c r="L120" s="23" t="s">
        <v>1511</v>
      </c>
      <c r="M120" s="23" t="s">
        <v>1506</v>
      </c>
      <c r="N120" s="23">
        <v>1998</v>
      </c>
      <c r="O120" s="23">
        <v>232</v>
      </c>
      <c r="P120" s="23">
        <v>124</v>
      </c>
      <c r="Q120" s="24"/>
    </row>
    <row r="121" spans="11:17" x14ac:dyDescent="0.3">
      <c r="K121" s="85" t="s">
        <v>1510</v>
      </c>
      <c r="L121" s="23" t="s">
        <v>1511</v>
      </c>
      <c r="M121" s="23" t="s">
        <v>1507</v>
      </c>
      <c r="N121" s="23">
        <v>1998</v>
      </c>
      <c r="O121" s="23">
        <v>239</v>
      </c>
      <c r="P121" s="23">
        <v>277</v>
      </c>
      <c r="Q121" s="24"/>
    </row>
    <row r="122" spans="11:17" x14ac:dyDescent="0.3">
      <c r="K122" s="85" t="s">
        <v>1510</v>
      </c>
      <c r="L122" s="23" t="s">
        <v>1511</v>
      </c>
      <c r="M122" s="23" t="s">
        <v>1508</v>
      </c>
      <c r="N122" s="23">
        <v>1998</v>
      </c>
      <c r="O122" s="23">
        <v>271</v>
      </c>
      <c r="P122" s="23">
        <v>365</v>
      </c>
      <c r="Q122" s="24"/>
    </row>
    <row r="123" spans="11:17" x14ac:dyDescent="0.3">
      <c r="K123" s="85" t="s">
        <v>1510</v>
      </c>
      <c r="L123" s="23" t="s">
        <v>1511</v>
      </c>
      <c r="M123" s="23" t="s">
        <v>1509</v>
      </c>
      <c r="N123" s="23">
        <v>1998</v>
      </c>
      <c r="O123" s="23">
        <v>200</v>
      </c>
      <c r="P123" s="23">
        <v>36</v>
      </c>
      <c r="Q123" s="24"/>
    </row>
    <row r="124" spans="11:17" x14ac:dyDescent="0.3">
      <c r="K124" s="85" t="s">
        <v>1500</v>
      </c>
      <c r="L124" s="23" t="s">
        <v>1512</v>
      </c>
      <c r="M124" s="23" t="s">
        <v>1501</v>
      </c>
      <c r="N124" s="23">
        <v>2000</v>
      </c>
      <c r="O124" s="23"/>
      <c r="P124" s="23">
        <v>6275</v>
      </c>
      <c r="Q124" s="24"/>
    </row>
    <row r="125" spans="11:17" x14ac:dyDescent="0.3">
      <c r="K125" s="85" t="s">
        <v>1500</v>
      </c>
      <c r="L125" s="23" t="s">
        <v>1512</v>
      </c>
      <c r="M125" s="23" t="s">
        <v>1502</v>
      </c>
      <c r="N125" s="23">
        <v>2000</v>
      </c>
      <c r="O125" s="23"/>
      <c r="P125" s="23">
        <v>3389</v>
      </c>
      <c r="Q125" s="24"/>
    </row>
    <row r="126" spans="11:17" x14ac:dyDescent="0.3">
      <c r="K126" s="85" t="s">
        <v>1500</v>
      </c>
      <c r="L126" s="23" t="s">
        <v>1512</v>
      </c>
      <c r="M126" s="23" t="s">
        <v>1503</v>
      </c>
      <c r="N126" s="23">
        <v>2000</v>
      </c>
      <c r="O126" s="23"/>
      <c r="P126" s="23">
        <v>2636</v>
      </c>
      <c r="Q126" s="24"/>
    </row>
    <row r="127" spans="11:17" x14ac:dyDescent="0.3">
      <c r="K127" s="85" t="s">
        <v>1500</v>
      </c>
      <c r="L127" s="23" t="s">
        <v>1512</v>
      </c>
      <c r="M127" s="23" t="s">
        <v>1504</v>
      </c>
      <c r="N127" s="23">
        <v>2000</v>
      </c>
      <c r="O127" s="23"/>
      <c r="P127" s="23">
        <v>1058</v>
      </c>
      <c r="Q127" s="24"/>
    </row>
    <row r="128" spans="11:17" x14ac:dyDescent="0.3">
      <c r="K128" s="85" t="s">
        <v>1500</v>
      </c>
      <c r="L128" s="23" t="s">
        <v>1512</v>
      </c>
      <c r="M128" s="23" t="s">
        <v>1505</v>
      </c>
      <c r="N128" s="23">
        <v>2000</v>
      </c>
      <c r="O128" s="23"/>
      <c r="P128" s="23">
        <v>-305</v>
      </c>
      <c r="Q128" s="24"/>
    </row>
    <row r="129" spans="11:17" x14ac:dyDescent="0.3">
      <c r="K129" s="85" t="s">
        <v>1500</v>
      </c>
      <c r="L129" s="23" t="s">
        <v>1512</v>
      </c>
      <c r="M129" s="23" t="s">
        <v>1506</v>
      </c>
      <c r="N129" s="23">
        <v>2000</v>
      </c>
      <c r="O129" s="23">
        <v>135</v>
      </c>
      <c r="P129" s="23">
        <v>109</v>
      </c>
      <c r="Q129" s="24"/>
    </row>
    <row r="130" spans="11:17" x14ac:dyDescent="0.3">
      <c r="K130" s="85" t="s">
        <v>1500</v>
      </c>
      <c r="L130" s="23" t="s">
        <v>1512</v>
      </c>
      <c r="M130" s="23" t="s">
        <v>1507</v>
      </c>
      <c r="N130" s="23">
        <v>2000</v>
      </c>
      <c r="O130" s="23">
        <v>142</v>
      </c>
      <c r="P130" s="23">
        <v>56</v>
      </c>
      <c r="Q130" s="24"/>
    </row>
    <row r="131" spans="11:17" x14ac:dyDescent="0.3">
      <c r="K131" s="85" t="s">
        <v>1500</v>
      </c>
      <c r="L131" s="23" t="s">
        <v>1512</v>
      </c>
      <c r="M131" s="23" t="s">
        <v>1508</v>
      </c>
      <c r="N131" s="23">
        <v>2000</v>
      </c>
      <c r="O131" s="23">
        <v>174</v>
      </c>
      <c r="P131" s="23">
        <v>42</v>
      </c>
      <c r="Q131" s="24"/>
    </row>
    <row r="132" spans="11:17" x14ac:dyDescent="0.3">
      <c r="K132" s="85" t="s">
        <v>1500</v>
      </c>
      <c r="L132" s="23" t="s">
        <v>1512</v>
      </c>
      <c r="M132" s="23" t="s">
        <v>1509</v>
      </c>
      <c r="N132" s="23">
        <v>2000</v>
      </c>
      <c r="O132" s="23">
        <v>103</v>
      </c>
      <c r="P132" s="23">
        <v>123</v>
      </c>
      <c r="Q132" s="24"/>
    </row>
    <row r="133" spans="11:17" x14ac:dyDescent="0.3">
      <c r="K133" s="85" t="s">
        <v>1510</v>
      </c>
      <c r="L133" s="23" t="s">
        <v>1512</v>
      </c>
      <c r="M133" s="23" t="s">
        <v>1501</v>
      </c>
      <c r="N133" s="23">
        <v>2000</v>
      </c>
      <c r="O133" s="23"/>
      <c r="P133" s="23">
        <v>6547</v>
      </c>
      <c r="Q133" s="24"/>
    </row>
    <row r="134" spans="11:17" x14ac:dyDescent="0.3">
      <c r="K134" s="85" t="s">
        <v>1510</v>
      </c>
      <c r="L134" s="23" t="s">
        <v>1512</v>
      </c>
      <c r="M134" s="23" t="s">
        <v>1502</v>
      </c>
      <c r="N134" s="23">
        <v>2000</v>
      </c>
      <c r="O134" s="23"/>
      <c r="P134" s="23">
        <v>3836</v>
      </c>
      <c r="Q134" s="24"/>
    </row>
    <row r="135" spans="11:17" x14ac:dyDescent="0.3">
      <c r="K135" s="85" t="s">
        <v>1510</v>
      </c>
      <c r="L135" s="23" t="s">
        <v>1512</v>
      </c>
      <c r="M135" s="23" t="s">
        <v>1503</v>
      </c>
      <c r="N135" s="23">
        <v>2000</v>
      </c>
      <c r="O135" s="23"/>
      <c r="P135" s="23">
        <v>2352</v>
      </c>
      <c r="Q135" s="24"/>
    </row>
    <row r="136" spans="11:17" x14ac:dyDescent="0.3">
      <c r="K136" s="85" t="s">
        <v>1510</v>
      </c>
      <c r="L136" s="23" t="s">
        <v>1512</v>
      </c>
      <c r="M136" s="23" t="s">
        <v>1504</v>
      </c>
      <c r="N136" s="23">
        <v>2000</v>
      </c>
      <c r="O136" s="23"/>
      <c r="P136" s="23">
        <v>780</v>
      </c>
      <c r="Q136" s="24"/>
    </row>
    <row r="137" spans="11:17" x14ac:dyDescent="0.3">
      <c r="K137" s="85" t="s">
        <v>1510</v>
      </c>
      <c r="L137" s="23" t="s">
        <v>1512</v>
      </c>
      <c r="M137" s="23" t="s">
        <v>1505</v>
      </c>
      <c r="N137" s="23">
        <v>2000</v>
      </c>
      <c r="O137" s="23"/>
      <c r="P137" s="23">
        <v>704</v>
      </c>
      <c r="Q137" s="24"/>
    </row>
    <row r="138" spans="11:17" x14ac:dyDescent="0.3">
      <c r="K138" s="85" t="s">
        <v>1510</v>
      </c>
      <c r="L138" s="23" t="s">
        <v>1512</v>
      </c>
      <c r="M138" s="23" t="s">
        <v>1506</v>
      </c>
      <c r="N138" s="23">
        <v>2000</v>
      </c>
      <c r="O138" s="23">
        <v>136</v>
      </c>
      <c r="P138" s="23">
        <v>119</v>
      </c>
      <c r="Q138" s="24"/>
    </row>
    <row r="139" spans="11:17" x14ac:dyDescent="0.3">
      <c r="K139" s="85" t="s">
        <v>1510</v>
      </c>
      <c r="L139" s="23" t="s">
        <v>1512</v>
      </c>
      <c r="M139" s="23" t="s">
        <v>1507</v>
      </c>
      <c r="N139" s="23">
        <v>2000</v>
      </c>
      <c r="O139" s="23">
        <v>143</v>
      </c>
      <c r="P139" s="23">
        <v>230</v>
      </c>
      <c r="Q139" s="24"/>
    </row>
    <row r="140" spans="11:17" x14ac:dyDescent="0.3">
      <c r="K140" s="85" t="s">
        <v>1510</v>
      </c>
      <c r="L140" s="23" t="s">
        <v>1512</v>
      </c>
      <c r="M140" s="23" t="s">
        <v>1508</v>
      </c>
      <c r="N140" s="23">
        <v>2000</v>
      </c>
      <c r="O140" s="23">
        <v>175</v>
      </c>
      <c r="P140" s="23">
        <v>78</v>
      </c>
      <c r="Q140" s="24"/>
    </row>
    <row r="141" spans="11:17" x14ac:dyDescent="0.3">
      <c r="K141" s="85" t="s">
        <v>1510</v>
      </c>
      <c r="L141" s="23" t="s">
        <v>1512</v>
      </c>
      <c r="M141" s="23" t="s">
        <v>1509</v>
      </c>
      <c r="N141" s="23">
        <v>2000</v>
      </c>
      <c r="O141" s="23">
        <v>104</v>
      </c>
      <c r="P141" s="23">
        <v>271</v>
      </c>
      <c r="Q141" s="24"/>
    </row>
    <row r="142" spans="11:17" x14ac:dyDescent="0.3">
      <c r="K142" s="85" t="s">
        <v>1500</v>
      </c>
      <c r="L142" s="23" t="s">
        <v>1512</v>
      </c>
      <c r="M142" s="23" t="s">
        <v>1501</v>
      </c>
      <c r="N142" s="23">
        <v>1999</v>
      </c>
      <c r="O142" s="23"/>
      <c r="P142" s="23">
        <v>2906</v>
      </c>
      <c r="Q142" s="24"/>
    </row>
    <row r="143" spans="11:17" x14ac:dyDescent="0.3">
      <c r="K143" s="85" t="s">
        <v>1500</v>
      </c>
      <c r="L143" s="23" t="s">
        <v>1512</v>
      </c>
      <c r="M143" s="23" t="s">
        <v>1502</v>
      </c>
      <c r="N143" s="23">
        <v>1999</v>
      </c>
      <c r="O143" s="23"/>
      <c r="P143" s="23">
        <v>1024</v>
      </c>
      <c r="Q143" s="24"/>
    </row>
    <row r="144" spans="11:17" x14ac:dyDescent="0.3">
      <c r="K144" s="85" t="s">
        <v>1500</v>
      </c>
      <c r="L144" s="23" t="s">
        <v>1512</v>
      </c>
      <c r="M144" s="23" t="s">
        <v>1503</v>
      </c>
      <c r="N144" s="23">
        <v>1999</v>
      </c>
      <c r="O144" s="23"/>
      <c r="P144" s="23">
        <v>271</v>
      </c>
      <c r="Q144" s="24"/>
    </row>
    <row r="145" spans="11:17" x14ac:dyDescent="0.3">
      <c r="K145" s="85" t="s">
        <v>1500</v>
      </c>
      <c r="L145" s="23" t="s">
        <v>1512</v>
      </c>
      <c r="M145" s="23" t="s">
        <v>1504</v>
      </c>
      <c r="N145" s="23">
        <v>1999</v>
      </c>
      <c r="O145" s="23"/>
      <c r="P145" s="23">
        <v>180</v>
      </c>
      <c r="Q145" s="24"/>
    </row>
    <row r="146" spans="11:17" x14ac:dyDescent="0.3">
      <c r="K146" s="85" t="s">
        <v>1500</v>
      </c>
      <c r="L146" s="23" t="s">
        <v>1512</v>
      </c>
      <c r="M146" s="23" t="s">
        <v>1505</v>
      </c>
      <c r="N146" s="23">
        <v>1999</v>
      </c>
      <c r="O146" s="23"/>
      <c r="P146" s="23">
        <v>573</v>
      </c>
      <c r="Q146" s="24"/>
    </row>
    <row r="147" spans="11:17" x14ac:dyDescent="0.3">
      <c r="K147" s="85" t="s">
        <v>1500</v>
      </c>
      <c r="L147" s="23" t="s">
        <v>1512</v>
      </c>
      <c r="M147" s="23" t="s">
        <v>1506</v>
      </c>
      <c r="N147" s="23">
        <v>1999</v>
      </c>
      <c r="O147" s="23">
        <v>193</v>
      </c>
      <c r="P147" s="23">
        <v>66</v>
      </c>
      <c r="Q147" s="24"/>
    </row>
    <row r="148" spans="11:17" x14ac:dyDescent="0.3">
      <c r="K148" s="85" t="s">
        <v>1500</v>
      </c>
      <c r="L148" s="23" t="s">
        <v>1512</v>
      </c>
      <c r="M148" s="23" t="s">
        <v>1507</v>
      </c>
      <c r="N148" s="23">
        <v>1999</v>
      </c>
      <c r="O148" s="23">
        <v>200</v>
      </c>
      <c r="P148" s="23">
        <v>178</v>
      </c>
      <c r="Q148" s="24"/>
    </row>
    <row r="149" spans="11:17" x14ac:dyDescent="0.3">
      <c r="K149" s="85" t="s">
        <v>1500</v>
      </c>
      <c r="L149" s="23" t="s">
        <v>1512</v>
      </c>
      <c r="M149" s="23" t="s">
        <v>1508</v>
      </c>
      <c r="N149" s="23">
        <v>1999</v>
      </c>
      <c r="O149" s="23">
        <v>232</v>
      </c>
      <c r="P149" s="23">
        <v>394</v>
      </c>
      <c r="Q149" s="24"/>
    </row>
    <row r="150" spans="11:17" x14ac:dyDescent="0.3">
      <c r="K150" s="85" t="s">
        <v>1500</v>
      </c>
      <c r="L150" s="23" t="s">
        <v>1512</v>
      </c>
      <c r="M150" s="23" t="s">
        <v>1509</v>
      </c>
      <c r="N150" s="23">
        <v>1999</v>
      </c>
      <c r="O150" s="23">
        <v>161</v>
      </c>
      <c r="P150" s="23">
        <v>-150</v>
      </c>
      <c r="Q150" s="24"/>
    </row>
    <row r="151" spans="11:17" x14ac:dyDescent="0.3">
      <c r="K151" s="85" t="s">
        <v>1510</v>
      </c>
      <c r="L151" s="23" t="s">
        <v>1512</v>
      </c>
      <c r="M151" s="23" t="s">
        <v>1501</v>
      </c>
      <c r="N151" s="23">
        <v>1999</v>
      </c>
      <c r="O151" s="23"/>
      <c r="P151" s="23">
        <v>8345</v>
      </c>
      <c r="Q151" s="24"/>
    </row>
    <row r="152" spans="11:17" x14ac:dyDescent="0.3">
      <c r="K152" s="85" t="s">
        <v>1510</v>
      </c>
      <c r="L152" s="23" t="s">
        <v>1512</v>
      </c>
      <c r="M152" s="23" t="s">
        <v>1502</v>
      </c>
      <c r="N152" s="23">
        <v>1999</v>
      </c>
      <c r="O152" s="23"/>
      <c r="P152" s="23">
        <v>2397</v>
      </c>
      <c r="Q152" s="24"/>
    </row>
    <row r="153" spans="11:17" x14ac:dyDescent="0.3">
      <c r="K153" s="85" t="s">
        <v>1510</v>
      </c>
      <c r="L153" s="23" t="s">
        <v>1512</v>
      </c>
      <c r="M153" s="23" t="s">
        <v>1503</v>
      </c>
      <c r="N153" s="23">
        <v>1999</v>
      </c>
      <c r="O153" s="23"/>
      <c r="P153" s="23">
        <v>995</v>
      </c>
      <c r="Q153" s="24"/>
    </row>
    <row r="154" spans="11:17" x14ac:dyDescent="0.3">
      <c r="K154" s="85" t="s">
        <v>1510</v>
      </c>
      <c r="L154" s="23" t="s">
        <v>1512</v>
      </c>
      <c r="M154" s="23" t="s">
        <v>1504</v>
      </c>
      <c r="N154" s="23">
        <v>1999</v>
      </c>
      <c r="O154" s="23"/>
      <c r="P154" s="23">
        <v>371</v>
      </c>
      <c r="Q154" s="24"/>
    </row>
    <row r="155" spans="11:17" x14ac:dyDescent="0.3">
      <c r="K155" s="85" t="s">
        <v>1510</v>
      </c>
      <c r="L155" s="23" t="s">
        <v>1512</v>
      </c>
      <c r="M155" s="23" t="s">
        <v>1505</v>
      </c>
      <c r="N155" s="23">
        <v>1999</v>
      </c>
      <c r="O155" s="23"/>
      <c r="P155" s="23">
        <v>1031</v>
      </c>
      <c r="Q155" s="24"/>
    </row>
    <row r="156" spans="11:17" x14ac:dyDescent="0.3">
      <c r="K156" s="85" t="s">
        <v>1510</v>
      </c>
      <c r="L156" s="23" t="s">
        <v>1512</v>
      </c>
      <c r="M156" s="23" t="s">
        <v>1506</v>
      </c>
      <c r="N156" s="23">
        <v>1999</v>
      </c>
      <c r="O156" s="23">
        <v>194</v>
      </c>
      <c r="P156" s="23">
        <v>141</v>
      </c>
      <c r="Q156" s="24"/>
    </row>
    <row r="157" spans="11:17" x14ac:dyDescent="0.3">
      <c r="K157" s="85" t="s">
        <v>1510</v>
      </c>
      <c r="L157" s="23" t="s">
        <v>1512</v>
      </c>
      <c r="M157" s="23" t="s">
        <v>1507</v>
      </c>
      <c r="N157" s="23">
        <v>1999</v>
      </c>
      <c r="O157" s="23">
        <v>201</v>
      </c>
      <c r="P157" s="23">
        <v>105</v>
      </c>
      <c r="Q157" s="24"/>
    </row>
    <row r="158" spans="11:17" x14ac:dyDescent="0.3">
      <c r="K158" s="85" t="s">
        <v>1510</v>
      </c>
      <c r="L158" s="23" t="s">
        <v>1512</v>
      </c>
      <c r="M158" s="23" t="s">
        <v>1508</v>
      </c>
      <c r="N158" s="23">
        <v>1999</v>
      </c>
      <c r="O158" s="23">
        <v>233</v>
      </c>
      <c r="P158" s="23">
        <v>389</v>
      </c>
      <c r="Q158" s="24"/>
    </row>
    <row r="159" spans="11:17" x14ac:dyDescent="0.3">
      <c r="K159" s="85" t="s">
        <v>1510</v>
      </c>
      <c r="L159" s="23" t="s">
        <v>1512</v>
      </c>
      <c r="M159" s="23" t="s">
        <v>1509</v>
      </c>
      <c r="N159" s="23">
        <v>1999</v>
      </c>
      <c r="O159" s="23">
        <v>162</v>
      </c>
      <c r="P159" s="23">
        <v>-143</v>
      </c>
      <c r="Q159" s="24"/>
    </row>
    <row r="160" spans="11:17" x14ac:dyDescent="0.3">
      <c r="K160" s="85" t="s">
        <v>1500</v>
      </c>
      <c r="L160" s="23" t="s">
        <v>1512</v>
      </c>
      <c r="M160" s="23" t="s">
        <v>1501</v>
      </c>
      <c r="N160" s="23">
        <v>1998</v>
      </c>
      <c r="O160" s="23"/>
      <c r="P160" s="23">
        <v>2913</v>
      </c>
      <c r="Q160" s="24"/>
    </row>
    <row r="161" spans="11:17" x14ac:dyDescent="0.3">
      <c r="K161" s="85" t="s">
        <v>1500</v>
      </c>
      <c r="L161" s="23" t="s">
        <v>1512</v>
      </c>
      <c r="M161" s="23" t="s">
        <v>1502</v>
      </c>
      <c r="N161" s="23">
        <v>1998</v>
      </c>
      <c r="O161" s="23"/>
      <c r="P161" s="23">
        <v>2021</v>
      </c>
      <c r="Q161" s="24"/>
    </row>
    <row r="162" spans="11:17" x14ac:dyDescent="0.3">
      <c r="K162" s="85" t="s">
        <v>1500</v>
      </c>
      <c r="L162" s="23" t="s">
        <v>1512</v>
      </c>
      <c r="M162" s="23" t="s">
        <v>1503</v>
      </c>
      <c r="N162" s="23">
        <v>1998</v>
      </c>
      <c r="O162" s="23"/>
      <c r="P162" s="23">
        <v>396</v>
      </c>
      <c r="Q162" s="24"/>
    </row>
    <row r="163" spans="11:17" x14ac:dyDescent="0.3">
      <c r="K163" s="85" t="s">
        <v>1500</v>
      </c>
      <c r="L163" s="23" t="s">
        <v>1512</v>
      </c>
      <c r="M163" s="23" t="s">
        <v>1504</v>
      </c>
      <c r="N163" s="23">
        <v>1998</v>
      </c>
      <c r="O163" s="23"/>
      <c r="P163" s="23">
        <v>243</v>
      </c>
      <c r="Q163" s="24"/>
    </row>
    <row r="164" spans="11:17" x14ac:dyDescent="0.3">
      <c r="K164" s="85" t="s">
        <v>1500</v>
      </c>
      <c r="L164" s="23" t="s">
        <v>1512</v>
      </c>
      <c r="M164" s="23" t="s">
        <v>1505</v>
      </c>
      <c r="N164" s="23">
        <v>1998</v>
      </c>
      <c r="O164" s="23"/>
      <c r="P164" s="23">
        <v>1382</v>
      </c>
      <c r="Q164" s="24"/>
    </row>
    <row r="165" spans="11:17" x14ac:dyDescent="0.3">
      <c r="K165" s="85" t="s">
        <v>1500</v>
      </c>
      <c r="L165" s="23" t="s">
        <v>1512</v>
      </c>
      <c r="M165" s="23" t="s">
        <v>1506</v>
      </c>
      <c r="N165" s="23">
        <v>1998</v>
      </c>
      <c r="O165" s="23">
        <v>251</v>
      </c>
      <c r="P165" s="23">
        <v>85</v>
      </c>
      <c r="Q165" s="24"/>
    </row>
    <row r="166" spans="11:17" x14ac:dyDescent="0.3">
      <c r="K166" s="85" t="s">
        <v>1500</v>
      </c>
      <c r="L166" s="23" t="s">
        <v>1512</v>
      </c>
      <c r="M166" s="23" t="s">
        <v>1507</v>
      </c>
      <c r="N166" s="23">
        <v>1998</v>
      </c>
      <c r="O166" s="23">
        <v>258</v>
      </c>
      <c r="P166" s="23">
        <v>474</v>
      </c>
      <c r="Q166" s="24"/>
    </row>
    <row r="167" spans="11:17" x14ac:dyDescent="0.3">
      <c r="K167" s="85" t="s">
        <v>1500</v>
      </c>
      <c r="L167" s="23" t="s">
        <v>1512</v>
      </c>
      <c r="M167" s="23" t="s">
        <v>1508</v>
      </c>
      <c r="N167" s="23">
        <v>1998</v>
      </c>
      <c r="O167" s="23">
        <v>290</v>
      </c>
      <c r="P167" s="23">
        <v>224</v>
      </c>
      <c r="Q167" s="24"/>
    </row>
    <row r="168" spans="11:17" x14ac:dyDescent="0.3">
      <c r="K168" s="85" t="s">
        <v>1500</v>
      </c>
      <c r="L168" s="23" t="s">
        <v>1512</v>
      </c>
      <c r="M168" s="23" t="s">
        <v>1509</v>
      </c>
      <c r="N168" s="23">
        <v>1998</v>
      </c>
      <c r="O168" s="23">
        <v>219</v>
      </c>
      <c r="P168" s="23">
        <v>335</v>
      </c>
      <c r="Q168" s="24"/>
    </row>
    <row r="169" spans="11:17" x14ac:dyDescent="0.3">
      <c r="K169" s="85" t="s">
        <v>1510</v>
      </c>
      <c r="L169" s="23" t="s">
        <v>1512</v>
      </c>
      <c r="M169" s="23" t="s">
        <v>1501</v>
      </c>
      <c r="N169" s="23">
        <v>1998</v>
      </c>
      <c r="O169" s="23"/>
      <c r="P169" s="23">
        <v>3610</v>
      </c>
      <c r="Q169" s="24"/>
    </row>
    <row r="170" spans="11:17" x14ac:dyDescent="0.3">
      <c r="K170" s="85" t="s">
        <v>1510</v>
      </c>
      <c r="L170" s="23" t="s">
        <v>1512</v>
      </c>
      <c r="M170" s="23" t="s">
        <v>1502</v>
      </c>
      <c r="N170" s="23">
        <v>1998</v>
      </c>
      <c r="O170" s="23"/>
      <c r="P170" s="23">
        <v>1303</v>
      </c>
      <c r="Q170" s="24"/>
    </row>
    <row r="171" spans="11:17" x14ac:dyDescent="0.3">
      <c r="K171" s="85" t="s">
        <v>1510</v>
      </c>
      <c r="L171" s="23" t="s">
        <v>1512</v>
      </c>
      <c r="M171" s="23" t="s">
        <v>1503</v>
      </c>
      <c r="N171" s="23">
        <v>1998</v>
      </c>
      <c r="O171" s="23"/>
      <c r="P171" s="23">
        <v>676</v>
      </c>
      <c r="Q171" s="24"/>
    </row>
    <row r="172" spans="11:17" x14ac:dyDescent="0.3">
      <c r="K172" s="85" t="s">
        <v>1510</v>
      </c>
      <c r="L172" s="23" t="s">
        <v>1512</v>
      </c>
      <c r="M172" s="23" t="s">
        <v>1504</v>
      </c>
      <c r="N172" s="23">
        <v>1998</v>
      </c>
      <c r="O172" s="23"/>
      <c r="P172" s="23">
        <v>411</v>
      </c>
      <c r="Q172" s="24"/>
    </row>
    <row r="173" spans="11:17" x14ac:dyDescent="0.3">
      <c r="K173" s="85" t="s">
        <v>1510</v>
      </c>
      <c r="L173" s="23" t="s">
        <v>1512</v>
      </c>
      <c r="M173" s="23" t="s">
        <v>1505</v>
      </c>
      <c r="N173" s="23">
        <v>1998</v>
      </c>
      <c r="O173" s="23"/>
      <c r="P173" s="23">
        <v>216</v>
      </c>
      <c r="Q173" s="24"/>
    </row>
    <row r="174" spans="11:17" x14ac:dyDescent="0.3">
      <c r="K174" s="85" t="s">
        <v>1510</v>
      </c>
      <c r="L174" s="23" t="s">
        <v>1512</v>
      </c>
      <c r="M174" s="23" t="s">
        <v>1506</v>
      </c>
      <c r="N174" s="23">
        <v>1998</v>
      </c>
      <c r="O174" s="23">
        <v>252</v>
      </c>
      <c r="P174" s="23">
        <v>154</v>
      </c>
      <c r="Q174" s="24"/>
    </row>
    <row r="175" spans="11:17" x14ac:dyDescent="0.3">
      <c r="K175" s="85" t="s">
        <v>1510</v>
      </c>
      <c r="L175" s="23" t="s">
        <v>1512</v>
      </c>
      <c r="M175" s="23" t="s">
        <v>1507</v>
      </c>
      <c r="N175" s="23">
        <v>1998</v>
      </c>
      <c r="O175" s="23">
        <v>259</v>
      </c>
      <c r="P175" s="23">
        <v>153</v>
      </c>
      <c r="Q175" s="24"/>
    </row>
    <row r="176" spans="11:17" x14ac:dyDescent="0.3">
      <c r="K176" s="85" t="s">
        <v>1510</v>
      </c>
      <c r="L176" s="23" t="s">
        <v>1512</v>
      </c>
      <c r="M176" s="23" t="s">
        <v>1508</v>
      </c>
      <c r="N176" s="23">
        <v>1998</v>
      </c>
      <c r="O176" s="23">
        <v>291</v>
      </c>
      <c r="P176" s="23">
        <v>81</v>
      </c>
      <c r="Q176" s="24"/>
    </row>
    <row r="177" spans="11:17" x14ac:dyDescent="0.3">
      <c r="K177" s="85" t="s">
        <v>1510</v>
      </c>
      <c r="L177" s="23" t="s">
        <v>1512</v>
      </c>
      <c r="M177" s="23" t="s">
        <v>1509</v>
      </c>
      <c r="N177" s="23">
        <v>1998</v>
      </c>
      <c r="O177" s="23">
        <v>220</v>
      </c>
      <c r="P177" s="23">
        <v>226</v>
      </c>
      <c r="Q177" s="24"/>
    </row>
    <row r="178" spans="11:17" x14ac:dyDescent="0.3">
      <c r="K178" s="85" t="s">
        <v>1500</v>
      </c>
      <c r="L178" s="23" t="s">
        <v>1513</v>
      </c>
      <c r="M178" s="23" t="s">
        <v>1501</v>
      </c>
      <c r="N178" s="23">
        <v>2000</v>
      </c>
      <c r="O178" s="23"/>
      <c r="P178" s="23">
        <v>4153</v>
      </c>
      <c r="Q178" s="24"/>
    </row>
    <row r="179" spans="11:17" x14ac:dyDescent="0.3">
      <c r="K179" s="85" t="s">
        <v>1500</v>
      </c>
      <c r="L179" s="23" t="s">
        <v>1513</v>
      </c>
      <c r="M179" s="23" t="s">
        <v>1502</v>
      </c>
      <c r="N179" s="23">
        <v>2000</v>
      </c>
      <c r="O179" s="23"/>
      <c r="P179" s="23">
        <v>1227</v>
      </c>
      <c r="Q179" s="24"/>
    </row>
    <row r="180" spans="11:17" x14ac:dyDescent="0.3">
      <c r="K180" s="85" t="s">
        <v>1500</v>
      </c>
      <c r="L180" s="23" t="s">
        <v>1513</v>
      </c>
      <c r="M180" s="23" t="s">
        <v>1503</v>
      </c>
      <c r="N180" s="23">
        <v>2000</v>
      </c>
      <c r="O180" s="23"/>
      <c r="P180" s="23">
        <v>893</v>
      </c>
      <c r="Q180" s="24"/>
    </row>
    <row r="181" spans="11:17" x14ac:dyDescent="0.3">
      <c r="K181" s="85" t="s">
        <v>1500</v>
      </c>
      <c r="L181" s="23" t="s">
        <v>1513</v>
      </c>
      <c r="M181" s="23" t="s">
        <v>1504</v>
      </c>
      <c r="N181" s="23">
        <v>2000</v>
      </c>
      <c r="O181" s="23"/>
      <c r="P181" s="23">
        <v>279</v>
      </c>
      <c r="Q181" s="24"/>
    </row>
    <row r="182" spans="11:17" x14ac:dyDescent="0.3">
      <c r="K182" s="85" t="s">
        <v>1500</v>
      </c>
      <c r="L182" s="23" t="s">
        <v>1513</v>
      </c>
      <c r="M182" s="23" t="s">
        <v>1505</v>
      </c>
      <c r="N182" s="23">
        <v>2000</v>
      </c>
      <c r="O182" s="23"/>
      <c r="P182" s="23">
        <v>55</v>
      </c>
      <c r="Q182" s="24"/>
    </row>
    <row r="183" spans="11:17" x14ac:dyDescent="0.3">
      <c r="K183" s="85" t="s">
        <v>1500</v>
      </c>
      <c r="L183" s="23" t="s">
        <v>1513</v>
      </c>
      <c r="M183" s="23" t="s">
        <v>1506</v>
      </c>
      <c r="N183" s="23">
        <v>2000</v>
      </c>
      <c r="O183" s="23">
        <v>103</v>
      </c>
      <c r="P183" s="23">
        <v>153</v>
      </c>
      <c r="Q183" s="24"/>
    </row>
    <row r="184" spans="11:17" x14ac:dyDescent="0.3">
      <c r="K184" s="85" t="s">
        <v>1500</v>
      </c>
      <c r="L184" s="23" t="s">
        <v>1513</v>
      </c>
      <c r="M184" s="23" t="s">
        <v>1507</v>
      </c>
      <c r="N184" s="23">
        <v>2000</v>
      </c>
      <c r="O184" s="23">
        <v>110</v>
      </c>
      <c r="P184" s="23">
        <v>78</v>
      </c>
      <c r="Q184" s="24"/>
    </row>
    <row r="185" spans="11:17" x14ac:dyDescent="0.3">
      <c r="K185" s="85" t="s">
        <v>1500</v>
      </c>
      <c r="L185" s="23" t="s">
        <v>1513</v>
      </c>
      <c r="M185" s="23" t="s">
        <v>1508</v>
      </c>
      <c r="N185" s="23">
        <v>2000</v>
      </c>
      <c r="O185" s="23">
        <v>142</v>
      </c>
      <c r="P185" s="23">
        <v>113</v>
      </c>
      <c r="Q185" s="24"/>
    </row>
    <row r="186" spans="11:17" x14ac:dyDescent="0.3">
      <c r="K186" s="85" t="s">
        <v>1500</v>
      </c>
      <c r="L186" s="23" t="s">
        <v>1513</v>
      </c>
      <c r="M186" s="23" t="s">
        <v>1509</v>
      </c>
      <c r="N186" s="23">
        <v>2000</v>
      </c>
      <c r="O186" s="23">
        <v>71</v>
      </c>
      <c r="P186" s="23">
        <v>118</v>
      </c>
      <c r="Q186" s="24"/>
    </row>
    <row r="187" spans="11:17" x14ac:dyDescent="0.3">
      <c r="K187" s="85" t="s">
        <v>1510</v>
      </c>
      <c r="L187" s="23" t="s">
        <v>1513</v>
      </c>
      <c r="M187" s="23" t="s">
        <v>1501</v>
      </c>
      <c r="N187" s="23">
        <v>2000</v>
      </c>
      <c r="O187" s="23"/>
      <c r="P187" s="23">
        <v>5024</v>
      </c>
      <c r="Q187" s="24"/>
    </row>
    <row r="188" spans="11:17" x14ac:dyDescent="0.3">
      <c r="K188" s="85" t="s">
        <v>1510</v>
      </c>
      <c r="L188" s="23" t="s">
        <v>1513</v>
      </c>
      <c r="M188" s="23" t="s">
        <v>1502</v>
      </c>
      <c r="N188" s="23">
        <v>2000</v>
      </c>
      <c r="O188" s="23"/>
      <c r="P188" s="23">
        <v>3353</v>
      </c>
      <c r="Q188" s="24"/>
    </row>
    <row r="189" spans="11:17" x14ac:dyDescent="0.3">
      <c r="K189" s="85" t="s">
        <v>1510</v>
      </c>
      <c r="L189" s="23" t="s">
        <v>1513</v>
      </c>
      <c r="M189" s="23" t="s">
        <v>1503</v>
      </c>
      <c r="N189" s="23">
        <v>2000</v>
      </c>
      <c r="O189" s="23"/>
      <c r="P189" s="23">
        <v>1967</v>
      </c>
      <c r="Q189" s="24"/>
    </row>
    <row r="190" spans="11:17" x14ac:dyDescent="0.3">
      <c r="K190" s="85" t="s">
        <v>1510</v>
      </c>
      <c r="L190" s="23" t="s">
        <v>1513</v>
      </c>
      <c r="M190" s="23" t="s">
        <v>1504</v>
      </c>
      <c r="N190" s="23">
        <v>2000</v>
      </c>
      <c r="O190" s="23"/>
      <c r="P190" s="23">
        <v>715</v>
      </c>
      <c r="Q190" s="24"/>
    </row>
    <row r="191" spans="11:17" x14ac:dyDescent="0.3">
      <c r="K191" s="85" t="s">
        <v>1510</v>
      </c>
      <c r="L191" s="23" t="s">
        <v>1513</v>
      </c>
      <c r="M191" s="23" t="s">
        <v>1505</v>
      </c>
      <c r="N191" s="23">
        <v>2000</v>
      </c>
      <c r="O191" s="23"/>
      <c r="P191" s="23">
        <v>671</v>
      </c>
      <c r="Q191" s="24"/>
    </row>
    <row r="192" spans="11:17" x14ac:dyDescent="0.3">
      <c r="K192" s="85" t="s">
        <v>1510</v>
      </c>
      <c r="L192" s="23" t="s">
        <v>1513</v>
      </c>
      <c r="M192" s="23" t="s">
        <v>1506</v>
      </c>
      <c r="N192" s="23">
        <v>2000</v>
      </c>
      <c r="O192" s="23">
        <v>104</v>
      </c>
      <c r="P192" s="23">
        <v>253</v>
      </c>
      <c r="Q192" s="24"/>
    </row>
    <row r="193" spans="11:17" x14ac:dyDescent="0.3">
      <c r="K193" s="85" t="s">
        <v>1510</v>
      </c>
      <c r="L193" s="23" t="s">
        <v>1513</v>
      </c>
      <c r="M193" s="23" t="s">
        <v>1507</v>
      </c>
      <c r="N193" s="23">
        <v>2000</v>
      </c>
      <c r="O193" s="23">
        <v>111</v>
      </c>
      <c r="P193" s="23">
        <v>210</v>
      </c>
      <c r="Q193" s="24"/>
    </row>
    <row r="194" spans="11:17" x14ac:dyDescent="0.3">
      <c r="K194" s="85" t="s">
        <v>1510</v>
      </c>
      <c r="L194" s="23" t="s">
        <v>1513</v>
      </c>
      <c r="M194" s="23" t="s">
        <v>1508</v>
      </c>
      <c r="N194" s="23">
        <v>2000</v>
      </c>
      <c r="O194" s="23">
        <v>143</v>
      </c>
      <c r="P194" s="23">
        <v>48</v>
      </c>
      <c r="Q194" s="24"/>
    </row>
    <row r="195" spans="11:17" x14ac:dyDescent="0.3">
      <c r="K195" s="85" t="s">
        <v>1510</v>
      </c>
      <c r="L195" s="23" t="s">
        <v>1513</v>
      </c>
      <c r="M195" s="23" t="s">
        <v>1509</v>
      </c>
      <c r="N195" s="23">
        <v>2000</v>
      </c>
      <c r="O195" s="23">
        <v>72</v>
      </c>
      <c r="P195" s="23">
        <v>415</v>
      </c>
      <c r="Q195" s="24"/>
    </row>
    <row r="196" spans="11:17" x14ac:dyDescent="0.3">
      <c r="K196" s="85" t="s">
        <v>1500</v>
      </c>
      <c r="L196" s="23" t="s">
        <v>1513</v>
      </c>
      <c r="M196" s="23" t="s">
        <v>1501</v>
      </c>
      <c r="N196" s="23">
        <v>1999</v>
      </c>
      <c r="O196" s="23"/>
      <c r="P196" s="23">
        <v>5315</v>
      </c>
      <c r="Q196" s="24"/>
    </row>
    <row r="197" spans="11:17" x14ac:dyDescent="0.3">
      <c r="K197" s="85" t="s">
        <v>1500</v>
      </c>
      <c r="L197" s="23" t="s">
        <v>1513</v>
      </c>
      <c r="M197" s="23" t="s">
        <v>1502</v>
      </c>
      <c r="N197" s="23">
        <v>1999</v>
      </c>
      <c r="O197" s="23"/>
      <c r="P197" s="23">
        <v>3104</v>
      </c>
      <c r="Q197" s="24"/>
    </row>
    <row r="198" spans="11:17" x14ac:dyDescent="0.3">
      <c r="K198" s="85" t="s">
        <v>1500</v>
      </c>
      <c r="L198" s="23" t="s">
        <v>1513</v>
      </c>
      <c r="M198" s="23" t="s">
        <v>1503</v>
      </c>
      <c r="N198" s="23">
        <v>1999</v>
      </c>
      <c r="O198" s="23"/>
      <c r="P198" s="23">
        <v>1659</v>
      </c>
      <c r="Q198" s="24"/>
    </row>
    <row r="199" spans="11:17" x14ac:dyDescent="0.3">
      <c r="K199" s="85" t="s">
        <v>1500</v>
      </c>
      <c r="L199" s="23" t="s">
        <v>1513</v>
      </c>
      <c r="M199" s="23" t="s">
        <v>1504</v>
      </c>
      <c r="N199" s="23">
        <v>1999</v>
      </c>
      <c r="O199" s="23"/>
      <c r="P199" s="23">
        <v>602</v>
      </c>
      <c r="Q199" s="24"/>
    </row>
    <row r="200" spans="11:17" x14ac:dyDescent="0.3">
      <c r="K200" s="85" t="s">
        <v>1500</v>
      </c>
      <c r="L200" s="23" t="s">
        <v>1513</v>
      </c>
      <c r="M200" s="23" t="s">
        <v>1505</v>
      </c>
      <c r="N200" s="23">
        <v>1999</v>
      </c>
      <c r="O200" s="23"/>
      <c r="P200" s="23">
        <v>843</v>
      </c>
      <c r="Q200" s="24"/>
    </row>
    <row r="201" spans="11:17" x14ac:dyDescent="0.3">
      <c r="K201" s="85" t="s">
        <v>1500</v>
      </c>
      <c r="L201" s="23" t="s">
        <v>1513</v>
      </c>
      <c r="M201" s="23" t="s">
        <v>1506</v>
      </c>
      <c r="N201" s="23">
        <v>1999</v>
      </c>
      <c r="O201" s="23">
        <v>161</v>
      </c>
      <c r="P201" s="23">
        <v>448</v>
      </c>
      <c r="Q201" s="24"/>
    </row>
    <row r="202" spans="11:17" x14ac:dyDescent="0.3">
      <c r="K202" s="85" t="s">
        <v>1500</v>
      </c>
      <c r="L202" s="23" t="s">
        <v>1513</v>
      </c>
      <c r="M202" s="23" t="s">
        <v>1507</v>
      </c>
      <c r="N202" s="23">
        <v>1999</v>
      </c>
      <c r="O202" s="23">
        <v>168</v>
      </c>
      <c r="P202" s="23">
        <v>167</v>
      </c>
      <c r="Q202" s="24"/>
    </row>
    <row r="203" spans="11:17" x14ac:dyDescent="0.3">
      <c r="K203" s="85" t="s">
        <v>1500</v>
      </c>
      <c r="L203" s="23" t="s">
        <v>1513</v>
      </c>
      <c r="M203" s="23" t="s">
        <v>1508</v>
      </c>
      <c r="N203" s="23">
        <v>1999</v>
      </c>
      <c r="O203" s="23">
        <v>200</v>
      </c>
      <c r="P203" s="23">
        <v>757</v>
      </c>
      <c r="Q203" s="24"/>
    </row>
    <row r="204" spans="11:17" x14ac:dyDescent="0.3">
      <c r="K204" s="85" t="s">
        <v>1500</v>
      </c>
      <c r="L204" s="23" t="s">
        <v>1513</v>
      </c>
      <c r="M204" s="23" t="s">
        <v>1509</v>
      </c>
      <c r="N204" s="23">
        <v>1999</v>
      </c>
      <c r="O204" s="23">
        <v>129</v>
      </c>
      <c r="P204" s="23">
        <v>-142</v>
      </c>
      <c r="Q204" s="24"/>
    </row>
    <row r="205" spans="11:17" x14ac:dyDescent="0.3">
      <c r="K205" s="85" t="s">
        <v>1510</v>
      </c>
      <c r="L205" s="23" t="s">
        <v>1513</v>
      </c>
      <c r="M205" s="23" t="s">
        <v>1501</v>
      </c>
      <c r="N205" s="23">
        <v>1999</v>
      </c>
      <c r="O205" s="23"/>
      <c r="P205" s="23">
        <v>11449</v>
      </c>
      <c r="Q205" s="24"/>
    </row>
    <row r="206" spans="11:17" x14ac:dyDescent="0.3">
      <c r="K206" s="85" t="s">
        <v>1510</v>
      </c>
      <c r="L206" s="23" t="s">
        <v>1513</v>
      </c>
      <c r="M206" s="23" t="s">
        <v>1502</v>
      </c>
      <c r="N206" s="23">
        <v>1999</v>
      </c>
      <c r="O206" s="23"/>
      <c r="P206" s="23">
        <v>2647</v>
      </c>
      <c r="Q206" s="24"/>
    </row>
    <row r="207" spans="11:17" x14ac:dyDescent="0.3">
      <c r="K207" s="85" t="s">
        <v>1510</v>
      </c>
      <c r="L207" s="23" t="s">
        <v>1513</v>
      </c>
      <c r="M207" s="23" t="s">
        <v>1503</v>
      </c>
      <c r="N207" s="23">
        <v>1999</v>
      </c>
      <c r="O207" s="23"/>
      <c r="P207" s="23">
        <v>1312</v>
      </c>
      <c r="Q207" s="24"/>
    </row>
    <row r="208" spans="11:17" x14ac:dyDescent="0.3">
      <c r="K208" s="85" t="s">
        <v>1510</v>
      </c>
      <c r="L208" s="23" t="s">
        <v>1513</v>
      </c>
      <c r="M208" s="23" t="s">
        <v>1504</v>
      </c>
      <c r="N208" s="23">
        <v>1999</v>
      </c>
      <c r="O208" s="23"/>
      <c r="P208" s="23">
        <v>1081</v>
      </c>
      <c r="Q208" s="24"/>
    </row>
    <row r="209" spans="11:17" x14ac:dyDescent="0.3">
      <c r="K209" s="85" t="s">
        <v>1510</v>
      </c>
      <c r="L209" s="23" t="s">
        <v>1513</v>
      </c>
      <c r="M209" s="23" t="s">
        <v>1505</v>
      </c>
      <c r="N209" s="23">
        <v>1999</v>
      </c>
      <c r="O209" s="23"/>
      <c r="P209" s="23">
        <v>254</v>
      </c>
      <c r="Q209" s="24"/>
    </row>
    <row r="210" spans="11:17" x14ac:dyDescent="0.3">
      <c r="K210" s="85" t="s">
        <v>1510</v>
      </c>
      <c r="L210" s="23" t="s">
        <v>1513</v>
      </c>
      <c r="M210" s="23" t="s">
        <v>1506</v>
      </c>
      <c r="N210" s="23">
        <v>1999</v>
      </c>
      <c r="O210" s="23">
        <v>162</v>
      </c>
      <c r="P210" s="23">
        <v>381</v>
      </c>
      <c r="Q210" s="24"/>
    </row>
    <row r="211" spans="11:17" x14ac:dyDescent="0.3">
      <c r="K211" s="85" t="s">
        <v>1510</v>
      </c>
      <c r="L211" s="23" t="s">
        <v>1513</v>
      </c>
      <c r="M211" s="23" t="s">
        <v>1507</v>
      </c>
      <c r="N211" s="23">
        <v>1999</v>
      </c>
      <c r="O211" s="23">
        <v>169</v>
      </c>
      <c r="P211" s="23">
        <v>249</v>
      </c>
      <c r="Q211" s="24"/>
    </row>
    <row r="212" spans="11:17" x14ac:dyDescent="0.3">
      <c r="K212" s="85" t="s">
        <v>1510</v>
      </c>
      <c r="L212" s="23" t="s">
        <v>1513</v>
      </c>
      <c r="M212" s="23" t="s">
        <v>1508</v>
      </c>
      <c r="N212" s="23">
        <v>1999</v>
      </c>
      <c r="O212" s="23">
        <v>201</v>
      </c>
      <c r="P212" s="23">
        <v>309</v>
      </c>
      <c r="Q212" s="24"/>
    </row>
    <row r="213" spans="11:17" x14ac:dyDescent="0.3">
      <c r="K213" s="85" t="s">
        <v>1510</v>
      </c>
      <c r="L213" s="23" t="s">
        <v>1513</v>
      </c>
      <c r="M213" s="23" t="s">
        <v>1509</v>
      </c>
      <c r="N213" s="23">
        <v>1999</v>
      </c>
      <c r="O213" s="23">
        <v>130</v>
      </c>
      <c r="P213" s="23">
        <v>321</v>
      </c>
      <c r="Q213" s="24"/>
    </row>
    <row r="214" spans="11:17" x14ac:dyDescent="0.3">
      <c r="K214" s="85" t="s">
        <v>1500</v>
      </c>
      <c r="L214" s="23" t="s">
        <v>1513</v>
      </c>
      <c r="M214" s="23" t="s">
        <v>1501</v>
      </c>
      <c r="N214" s="23">
        <v>1998</v>
      </c>
      <c r="O214" s="23"/>
      <c r="P214" s="23">
        <v>2679</v>
      </c>
      <c r="Q214" s="24"/>
    </row>
    <row r="215" spans="11:17" x14ac:dyDescent="0.3">
      <c r="K215" s="85" t="s">
        <v>1500</v>
      </c>
      <c r="L215" s="23" t="s">
        <v>1513</v>
      </c>
      <c r="M215" s="23" t="s">
        <v>1502</v>
      </c>
      <c r="N215" s="23">
        <v>1998</v>
      </c>
      <c r="O215" s="23"/>
      <c r="P215" s="23">
        <v>1744</v>
      </c>
      <c r="Q215" s="24"/>
    </row>
    <row r="216" spans="11:17" x14ac:dyDescent="0.3">
      <c r="K216" s="85" t="s">
        <v>1500</v>
      </c>
      <c r="L216" s="23" t="s">
        <v>1513</v>
      </c>
      <c r="M216" s="23" t="s">
        <v>1503</v>
      </c>
      <c r="N216" s="23">
        <v>1998</v>
      </c>
      <c r="O216" s="23"/>
      <c r="P216" s="23">
        <v>911</v>
      </c>
      <c r="Q216" s="24"/>
    </row>
    <row r="217" spans="11:17" x14ac:dyDescent="0.3">
      <c r="K217" s="85" t="s">
        <v>1500</v>
      </c>
      <c r="L217" s="23" t="s">
        <v>1513</v>
      </c>
      <c r="M217" s="23" t="s">
        <v>1504</v>
      </c>
      <c r="N217" s="23">
        <v>1998</v>
      </c>
      <c r="O217" s="23"/>
      <c r="P217" s="23">
        <v>451</v>
      </c>
      <c r="Q217" s="24"/>
    </row>
    <row r="218" spans="11:17" x14ac:dyDescent="0.3">
      <c r="K218" s="85" t="s">
        <v>1500</v>
      </c>
      <c r="L218" s="23" t="s">
        <v>1513</v>
      </c>
      <c r="M218" s="23" t="s">
        <v>1505</v>
      </c>
      <c r="N218" s="23">
        <v>1998</v>
      </c>
      <c r="O218" s="23"/>
      <c r="P218" s="23">
        <v>382</v>
      </c>
      <c r="Q218" s="24"/>
    </row>
    <row r="219" spans="11:17" x14ac:dyDescent="0.3">
      <c r="K219" s="85" t="s">
        <v>1500</v>
      </c>
      <c r="L219" s="23" t="s">
        <v>1513</v>
      </c>
      <c r="M219" s="23" t="s">
        <v>1506</v>
      </c>
      <c r="N219" s="23">
        <v>1998</v>
      </c>
      <c r="O219" s="23">
        <v>219</v>
      </c>
      <c r="P219" s="23">
        <v>163</v>
      </c>
      <c r="Q219" s="24"/>
    </row>
    <row r="220" spans="11:17" x14ac:dyDescent="0.3">
      <c r="K220" s="85" t="s">
        <v>1500</v>
      </c>
      <c r="L220" s="23" t="s">
        <v>1513</v>
      </c>
      <c r="M220" s="23" t="s">
        <v>1507</v>
      </c>
      <c r="N220" s="23">
        <v>1998</v>
      </c>
      <c r="O220" s="23">
        <v>226</v>
      </c>
      <c r="P220" s="23">
        <v>72</v>
      </c>
      <c r="Q220" s="24"/>
    </row>
    <row r="221" spans="11:17" x14ac:dyDescent="0.3">
      <c r="K221" s="85" t="s">
        <v>1500</v>
      </c>
      <c r="L221" s="23" t="s">
        <v>1513</v>
      </c>
      <c r="M221" s="23" t="s">
        <v>1508</v>
      </c>
      <c r="N221" s="23">
        <v>1998</v>
      </c>
      <c r="O221" s="23">
        <v>258</v>
      </c>
      <c r="P221" s="23">
        <v>131</v>
      </c>
      <c r="Q221" s="24"/>
    </row>
    <row r="222" spans="11:17" x14ac:dyDescent="0.3">
      <c r="K222" s="85" t="s">
        <v>1500</v>
      </c>
      <c r="L222" s="23" t="s">
        <v>1513</v>
      </c>
      <c r="M222" s="23" t="s">
        <v>1509</v>
      </c>
      <c r="N222" s="23">
        <v>1998</v>
      </c>
      <c r="O222" s="23">
        <v>187</v>
      </c>
      <c r="P222" s="23">
        <v>104</v>
      </c>
      <c r="Q222" s="24"/>
    </row>
    <row r="223" spans="11:17" x14ac:dyDescent="0.3">
      <c r="K223" s="85" t="s">
        <v>1510</v>
      </c>
      <c r="L223" s="23" t="s">
        <v>1513</v>
      </c>
      <c r="M223" s="23" t="s">
        <v>1501</v>
      </c>
      <c r="N223" s="23">
        <v>1998</v>
      </c>
      <c r="O223" s="23"/>
      <c r="P223" s="23">
        <v>6706</v>
      </c>
      <c r="Q223" s="24"/>
    </row>
    <row r="224" spans="11:17" x14ac:dyDescent="0.3">
      <c r="K224" s="85" t="s">
        <v>1510</v>
      </c>
      <c r="L224" s="23" t="s">
        <v>1513</v>
      </c>
      <c r="M224" s="23" t="s">
        <v>1502</v>
      </c>
      <c r="N224" s="23">
        <v>1998</v>
      </c>
      <c r="O224" s="23"/>
      <c r="P224" s="23">
        <v>1505</v>
      </c>
      <c r="Q224" s="24"/>
    </row>
    <row r="225" spans="11:17" x14ac:dyDescent="0.3">
      <c r="K225" s="85" t="s">
        <v>1510</v>
      </c>
      <c r="L225" s="23" t="s">
        <v>1513</v>
      </c>
      <c r="M225" s="23" t="s">
        <v>1503</v>
      </c>
      <c r="N225" s="23">
        <v>1998</v>
      </c>
      <c r="O225" s="23"/>
      <c r="P225" s="23">
        <v>618</v>
      </c>
      <c r="Q225" s="24"/>
    </row>
    <row r="226" spans="11:17" x14ac:dyDescent="0.3">
      <c r="K226" s="85" t="s">
        <v>1510</v>
      </c>
      <c r="L226" s="23" t="s">
        <v>1513</v>
      </c>
      <c r="M226" s="23" t="s">
        <v>1504</v>
      </c>
      <c r="N226" s="23">
        <v>1998</v>
      </c>
      <c r="O226" s="23"/>
      <c r="P226" s="23">
        <v>319</v>
      </c>
      <c r="Q226" s="24"/>
    </row>
    <row r="227" spans="11:17" x14ac:dyDescent="0.3">
      <c r="K227" s="85" t="s">
        <v>1510</v>
      </c>
      <c r="L227" s="23" t="s">
        <v>1513</v>
      </c>
      <c r="M227" s="23" t="s">
        <v>1505</v>
      </c>
      <c r="N227" s="23">
        <v>1998</v>
      </c>
      <c r="O227" s="23"/>
      <c r="P227" s="23">
        <v>568</v>
      </c>
      <c r="Q227" s="24"/>
    </row>
    <row r="228" spans="11:17" x14ac:dyDescent="0.3">
      <c r="K228" s="85" t="s">
        <v>1510</v>
      </c>
      <c r="L228" s="23" t="s">
        <v>1513</v>
      </c>
      <c r="M228" s="23" t="s">
        <v>1506</v>
      </c>
      <c r="N228" s="23">
        <v>1998</v>
      </c>
      <c r="O228" s="23">
        <v>220</v>
      </c>
      <c r="P228" s="23">
        <v>126</v>
      </c>
      <c r="Q228" s="24"/>
    </row>
    <row r="229" spans="11:17" x14ac:dyDescent="0.3">
      <c r="K229" s="85" t="s">
        <v>1510</v>
      </c>
      <c r="L229" s="23" t="s">
        <v>1513</v>
      </c>
      <c r="M229" s="23" t="s">
        <v>1507</v>
      </c>
      <c r="N229" s="23">
        <v>1998</v>
      </c>
      <c r="O229" s="23">
        <v>227</v>
      </c>
      <c r="P229" s="23">
        <v>221</v>
      </c>
      <c r="Q229" s="24"/>
    </row>
    <row r="230" spans="11:17" x14ac:dyDescent="0.3">
      <c r="K230" s="85" t="s">
        <v>1510</v>
      </c>
      <c r="L230" s="23" t="s">
        <v>1513</v>
      </c>
      <c r="M230" s="23" t="s">
        <v>1508</v>
      </c>
      <c r="N230" s="23">
        <v>1998</v>
      </c>
      <c r="O230" s="23">
        <v>259</v>
      </c>
      <c r="P230" s="23">
        <v>177</v>
      </c>
      <c r="Q230" s="24"/>
    </row>
    <row r="231" spans="11:17" x14ac:dyDescent="0.3">
      <c r="K231" s="85" t="s">
        <v>1510</v>
      </c>
      <c r="L231" s="23" t="s">
        <v>1513</v>
      </c>
      <c r="M231" s="23" t="s">
        <v>1509</v>
      </c>
      <c r="N231" s="23">
        <v>1998</v>
      </c>
      <c r="O231" s="23">
        <v>188</v>
      </c>
      <c r="P231" s="23">
        <v>170</v>
      </c>
      <c r="Q231" s="24"/>
    </row>
    <row r="232" spans="11:17" x14ac:dyDescent="0.3">
      <c r="K232" s="85" t="s">
        <v>1500</v>
      </c>
      <c r="L232" s="23" t="s">
        <v>1514</v>
      </c>
      <c r="M232" s="23" t="s">
        <v>1501</v>
      </c>
      <c r="N232" s="23">
        <v>2000</v>
      </c>
      <c r="O232" s="23"/>
      <c r="P232" s="23">
        <v>4691</v>
      </c>
      <c r="Q232" s="24"/>
    </row>
    <row r="233" spans="11:17" x14ac:dyDescent="0.3">
      <c r="K233" s="85" t="s">
        <v>1500</v>
      </c>
      <c r="L233" s="23" t="s">
        <v>1514</v>
      </c>
      <c r="M233" s="23" t="s">
        <v>1502</v>
      </c>
      <c r="N233" s="23">
        <v>2000</v>
      </c>
      <c r="O233" s="23"/>
      <c r="P233" s="23">
        <v>3387</v>
      </c>
      <c r="Q233" s="24"/>
    </row>
    <row r="234" spans="11:17" x14ac:dyDescent="0.3">
      <c r="K234" s="85" t="s">
        <v>1500</v>
      </c>
      <c r="L234" s="23" t="s">
        <v>1514</v>
      </c>
      <c r="M234" s="23" t="s">
        <v>1503</v>
      </c>
      <c r="N234" s="23">
        <v>2000</v>
      </c>
      <c r="O234" s="23"/>
      <c r="P234" s="23">
        <v>2384</v>
      </c>
      <c r="Q234" s="24"/>
    </row>
    <row r="235" spans="11:17" x14ac:dyDescent="0.3">
      <c r="K235" s="85" t="s">
        <v>1500</v>
      </c>
      <c r="L235" s="23" t="s">
        <v>1514</v>
      </c>
      <c r="M235" s="23" t="s">
        <v>1504</v>
      </c>
      <c r="N235" s="23">
        <v>2000</v>
      </c>
      <c r="O235" s="23"/>
      <c r="P235" s="23">
        <v>392</v>
      </c>
      <c r="Q235" s="24"/>
    </row>
    <row r="236" spans="11:17" x14ac:dyDescent="0.3">
      <c r="K236" s="85" t="s">
        <v>1500</v>
      </c>
      <c r="L236" s="23" t="s">
        <v>1514</v>
      </c>
      <c r="M236" s="23" t="s">
        <v>1505</v>
      </c>
      <c r="N236" s="23">
        <v>2000</v>
      </c>
      <c r="O236" s="23"/>
      <c r="P236" s="23">
        <v>611</v>
      </c>
      <c r="Q236" s="24"/>
    </row>
    <row r="237" spans="11:17" x14ac:dyDescent="0.3">
      <c r="K237" s="85" t="s">
        <v>1500</v>
      </c>
      <c r="L237" s="23" t="s">
        <v>1514</v>
      </c>
      <c r="M237" s="23" t="s">
        <v>1506</v>
      </c>
      <c r="N237" s="23">
        <v>2000</v>
      </c>
      <c r="O237" s="23">
        <v>117</v>
      </c>
      <c r="P237" s="23">
        <v>68</v>
      </c>
      <c r="Q237" s="24"/>
    </row>
    <row r="238" spans="11:17" x14ac:dyDescent="0.3">
      <c r="K238" s="85" t="s">
        <v>1500</v>
      </c>
      <c r="L238" s="23" t="s">
        <v>1514</v>
      </c>
      <c r="M238" s="23" t="s">
        <v>1507</v>
      </c>
      <c r="N238" s="23">
        <v>2000</v>
      </c>
      <c r="O238" s="23">
        <v>124</v>
      </c>
      <c r="P238" s="23">
        <v>84</v>
      </c>
      <c r="Q238" s="24"/>
    </row>
    <row r="239" spans="11:17" x14ac:dyDescent="0.3">
      <c r="K239" s="85" t="s">
        <v>1500</v>
      </c>
      <c r="L239" s="23" t="s">
        <v>1514</v>
      </c>
      <c r="M239" s="23" t="s">
        <v>1508</v>
      </c>
      <c r="N239" s="23">
        <v>2000</v>
      </c>
      <c r="O239" s="23">
        <v>156</v>
      </c>
      <c r="P239" s="23">
        <v>267</v>
      </c>
      <c r="Q239" s="24"/>
    </row>
    <row r="240" spans="11:17" x14ac:dyDescent="0.3">
      <c r="K240" s="85" t="s">
        <v>1500</v>
      </c>
      <c r="L240" s="23" t="s">
        <v>1514</v>
      </c>
      <c r="M240" s="23" t="s">
        <v>1509</v>
      </c>
      <c r="N240" s="23">
        <v>2000</v>
      </c>
      <c r="O240" s="23">
        <v>85</v>
      </c>
      <c r="P240" s="23">
        <v>-115</v>
      </c>
      <c r="Q240" s="24"/>
    </row>
    <row r="241" spans="11:17" x14ac:dyDescent="0.3">
      <c r="K241" s="85" t="s">
        <v>1510</v>
      </c>
      <c r="L241" s="23" t="s">
        <v>1514</v>
      </c>
      <c r="M241" s="23" t="s">
        <v>1501</v>
      </c>
      <c r="N241" s="23">
        <v>2000</v>
      </c>
      <c r="O241" s="23"/>
      <c r="P241" s="23">
        <v>5757</v>
      </c>
      <c r="Q241" s="24"/>
    </row>
    <row r="242" spans="11:17" x14ac:dyDescent="0.3">
      <c r="K242" s="85" t="s">
        <v>1510</v>
      </c>
      <c r="L242" s="23" t="s">
        <v>1514</v>
      </c>
      <c r="M242" s="23" t="s">
        <v>1502</v>
      </c>
      <c r="N242" s="23">
        <v>2000</v>
      </c>
      <c r="O242" s="23"/>
      <c r="P242" s="23">
        <v>2855</v>
      </c>
      <c r="Q242" s="24"/>
    </row>
    <row r="243" spans="11:17" x14ac:dyDescent="0.3">
      <c r="K243" s="85" t="s">
        <v>1510</v>
      </c>
      <c r="L243" s="23" t="s">
        <v>1514</v>
      </c>
      <c r="M243" s="23" t="s">
        <v>1503</v>
      </c>
      <c r="N243" s="23">
        <v>2000</v>
      </c>
      <c r="O243" s="23"/>
      <c r="P243" s="23">
        <v>1696</v>
      </c>
      <c r="Q243" s="24"/>
    </row>
    <row r="244" spans="11:17" x14ac:dyDescent="0.3">
      <c r="K244" s="85" t="s">
        <v>1510</v>
      </c>
      <c r="L244" s="23" t="s">
        <v>1514</v>
      </c>
      <c r="M244" s="23" t="s">
        <v>1504</v>
      </c>
      <c r="N244" s="23">
        <v>2000</v>
      </c>
      <c r="O244" s="23"/>
      <c r="P244" s="23">
        <v>1481</v>
      </c>
      <c r="Q244" s="24"/>
    </row>
    <row r="245" spans="11:17" x14ac:dyDescent="0.3">
      <c r="K245" s="85" t="s">
        <v>1510</v>
      </c>
      <c r="L245" s="23" t="s">
        <v>1514</v>
      </c>
      <c r="M245" s="23" t="s">
        <v>1505</v>
      </c>
      <c r="N245" s="23">
        <v>2000</v>
      </c>
      <c r="O245" s="23"/>
      <c r="P245" s="23">
        <v>-322</v>
      </c>
      <c r="Q245" s="24"/>
    </row>
    <row r="246" spans="11:17" x14ac:dyDescent="0.3">
      <c r="K246" s="85" t="s">
        <v>1510</v>
      </c>
      <c r="L246" s="23" t="s">
        <v>1514</v>
      </c>
      <c r="M246" s="23" t="s">
        <v>1506</v>
      </c>
      <c r="N246" s="23">
        <v>2000</v>
      </c>
      <c r="O246" s="23">
        <v>118</v>
      </c>
      <c r="P246" s="23">
        <v>88</v>
      </c>
      <c r="Q246" s="24"/>
    </row>
    <row r="247" spans="11:17" x14ac:dyDescent="0.3">
      <c r="K247" s="85" t="s">
        <v>1510</v>
      </c>
      <c r="L247" s="23" t="s">
        <v>1514</v>
      </c>
      <c r="M247" s="23" t="s">
        <v>1507</v>
      </c>
      <c r="N247" s="23">
        <v>2000</v>
      </c>
      <c r="O247" s="23">
        <v>125</v>
      </c>
      <c r="P247" s="23">
        <v>144</v>
      </c>
      <c r="Q247" s="24"/>
    </row>
    <row r="248" spans="11:17" x14ac:dyDescent="0.3">
      <c r="K248" s="85" t="s">
        <v>1510</v>
      </c>
      <c r="L248" s="23" t="s">
        <v>1514</v>
      </c>
      <c r="M248" s="23" t="s">
        <v>1508</v>
      </c>
      <c r="N248" s="23">
        <v>2000</v>
      </c>
      <c r="O248" s="23">
        <v>157</v>
      </c>
      <c r="P248" s="23">
        <v>261</v>
      </c>
      <c r="Q248" s="24"/>
    </row>
    <row r="249" spans="11:17" x14ac:dyDescent="0.3">
      <c r="K249" s="85" t="s">
        <v>1510</v>
      </c>
      <c r="L249" s="23" t="s">
        <v>1514</v>
      </c>
      <c r="M249" s="23" t="s">
        <v>1509</v>
      </c>
      <c r="N249" s="23">
        <v>2000</v>
      </c>
      <c r="O249" s="23">
        <v>86</v>
      </c>
      <c r="P249" s="23">
        <v>-29</v>
      </c>
      <c r="Q249" s="24"/>
    </row>
    <row r="250" spans="11:17" x14ac:dyDescent="0.3">
      <c r="K250" s="85" t="s">
        <v>1500</v>
      </c>
      <c r="L250" s="23" t="s">
        <v>1514</v>
      </c>
      <c r="M250" s="23" t="s">
        <v>1501</v>
      </c>
      <c r="N250" s="23">
        <v>1999</v>
      </c>
      <c r="O250" s="23"/>
      <c r="P250" s="23">
        <v>4450</v>
      </c>
      <c r="Q250" s="24"/>
    </row>
    <row r="251" spans="11:17" x14ac:dyDescent="0.3">
      <c r="K251" s="85" t="s">
        <v>1500</v>
      </c>
      <c r="L251" s="23" t="s">
        <v>1514</v>
      </c>
      <c r="M251" s="23" t="s">
        <v>1502</v>
      </c>
      <c r="N251" s="23">
        <v>1999</v>
      </c>
      <c r="O251" s="23"/>
      <c r="P251" s="23">
        <v>2803</v>
      </c>
      <c r="Q251" s="24"/>
    </row>
    <row r="252" spans="11:17" x14ac:dyDescent="0.3">
      <c r="K252" s="85" t="s">
        <v>1500</v>
      </c>
      <c r="L252" s="23" t="s">
        <v>1514</v>
      </c>
      <c r="M252" s="23" t="s">
        <v>1503</v>
      </c>
      <c r="N252" s="23">
        <v>1999</v>
      </c>
      <c r="O252" s="23"/>
      <c r="P252" s="23">
        <v>1898</v>
      </c>
      <c r="Q252" s="24"/>
    </row>
    <row r="253" spans="11:17" x14ac:dyDescent="0.3">
      <c r="K253" s="85" t="s">
        <v>1500</v>
      </c>
      <c r="L253" s="23" t="s">
        <v>1514</v>
      </c>
      <c r="M253" s="23" t="s">
        <v>1504</v>
      </c>
      <c r="N253" s="23">
        <v>1999</v>
      </c>
      <c r="O253" s="23"/>
      <c r="P253" s="23">
        <v>1424</v>
      </c>
      <c r="Q253" s="24"/>
    </row>
    <row r="254" spans="11:17" x14ac:dyDescent="0.3">
      <c r="K254" s="85" t="s">
        <v>1500</v>
      </c>
      <c r="L254" s="23" t="s">
        <v>1514</v>
      </c>
      <c r="M254" s="23" t="s">
        <v>1505</v>
      </c>
      <c r="N254" s="23">
        <v>1999</v>
      </c>
      <c r="O254" s="23"/>
      <c r="P254" s="23">
        <v>-519</v>
      </c>
      <c r="Q254" s="24"/>
    </row>
    <row r="255" spans="11:17" x14ac:dyDescent="0.3">
      <c r="K255" s="85" t="s">
        <v>1500</v>
      </c>
      <c r="L255" s="23" t="s">
        <v>1514</v>
      </c>
      <c r="M255" s="23" t="s">
        <v>1506</v>
      </c>
      <c r="N255" s="23">
        <v>1999</v>
      </c>
      <c r="O255" s="23">
        <v>175</v>
      </c>
      <c r="P255" s="23">
        <v>67</v>
      </c>
      <c r="Q255" s="24"/>
    </row>
    <row r="256" spans="11:17" x14ac:dyDescent="0.3">
      <c r="K256" s="85" t="s">
        <v>1500</v>
      </c>
      <c r="L256" s="23" t="s">
        <v>1514</v>
      </c>
      <c r="M256" s="23" t="s">
        <v>1507</v>
      </c>
      <c r="N256" s="23">
        <v>1999</v>
      </c>
      <c r="O256" s="23">
        <v>182</v>
      </c>
      <c r="P256" s="23">
        <v>145</v>
      </c>
      <c r="Q256" s="24"/>
    </row>
    <row r="257" spans="11:17" x14ac:dyDescent="0.3">
      <c r="K257" s="85" t="s">
        <v>1500</v>
      </c>
      <c r="L257" s="23" t="s">
        <v>1514</v>
      </c>
      <c r="M257" s="23" t="s">
        <v>1508</v>
      </c>
      <c r="N257" s="23">
        <v>1999</v>
      </c>
      <c r="O257" s="23">
        <v>214</v>
      </c>
      <c r="P257" s="23">
        <v>56</v>
      </c>
      <c r="Q257" s="24"/>
    </row>
    <row r="258" spans="11:17" x14ac:dyDescent="0.3">
      <c r="K258" s="85" t="s">
        <v>1500</v>
      </c>
      <c r="L258" s="23" t="s">
        <v>1514</v>
      </c>
      <c r="M258" s="23" t="s">
        <v>1509</v>
      </c>
      <c r="N258" s="23">
        <v>1999</v>
      </c>
      <c r="O258" s="23">
        <v>143</v>
      </c>
      <c r="P258" s="23">
        <v>156</v>
      </c>
      <c r="Q258" s="24"/>
    </row>
    <row r="259" spans="11:17" x14ac:dyDescent="0.3">
      <c r="K259" s="85" t="s">
        <v>1510</v>
      </c>
      <c r="L259" s="23" t="s">
        <v>1514</v>
      </c>
      <c r="M259" s="23" t="s">
        <v>1501</v>
      </c>
      <c r="N259" s="23">
        <v>1999</v>
      </c>
      <c r="O259" s="23"/>
      <c r="P259" s="23">
        <v>9374</v>
      </c>
      <c r="Q259" s="24"/>
    </row>
    <row r="260" spans="11:17" x14ac:dyDescent="0.3">
      <c r="K260" s="85" t="s">
        <v>1510</v>
      </c>
      <c r="L260" s="23" t="s">
        <v>1514</v>
      </c>
      <c r="M260" s="23" t="s">
        <v>1502</v>
      </c>
      <c r="N260" s="23">
        <v>1999</v>
      </c>
      <c r="O260" s="23"/>
      <c r="P260" s="23">
        <v>3271</v>
      </c>
      <c r="Q260" s="24"/>
    </row>
    <row r="261" spans="11:17" x14ac:dyDescent="0.3">
      <c r="K261" s="85" t="s">
        <v>1510</v>
      </c>
      <c r="L261" s="23" t="s">
        <v>1514</v>
      </c>
      <c r="M261" s="23" t="s">
        <v>1503</v>
      </c>
      <c r="N261" s="23">
        <v>1999</v>
      </c>
      <c r="O261" s="23"/>
      <c r="P261" s="23">
        <v>850</v>
      </c>
      <c r="Q261" s="24"/>
    </row>
    <row r="262" spans="11:17" x14ac:dyDescent="0.3">
      <c r="K262" s="85" t="s">
        <v>1510</v>
      </c>
      <c r="L262" s="23" t="s">
        <v>1514</v>
      </c>
      <c r="M262" s="23" t="s">
        <v>1504</v>
      </c>
      <c r="N262" s="23">
        <v>1999</v>
      </c>
      <c r="O262" s="23"/>
      <c r="P262" s="23">
        <v>169</v>
      </c>
      <c r="Q262" s="24"/>
    </row>
    <row r="263" spans="11:17" x14ac:dyDescent="0.3">
      <c r="K263" s="85" t="s">
        <v>1510</v>
      </c>
      <c r="L263" s="23" t="s">
        <v>1514</v>
      </c>
      <c r="M263" s="23" t="s">
        <v>1505</v>
      </c>
      <c r="N263" s="23">
        <v>1999</v>
      </c>
      <c r="O263" s="23"/>
      <c r="P263" s="23">
        <v>2252</v>
      </c>
      <c r="Q263" s="24"/>
    </row>
    <row r="264" spans="11:17" x14ac:dyDescent="0.3">
      <c r="K264" s="85" t="s">
        <v>1510</v>
      </c>
      <c r="L264" s="23" t="s">
        <v>1514</v>
      </c>
      <c r="M264" s="23" t="s">
        <v>1506</v>
      </c>
      <c r="N264" s="23">
        <v>1999</v>
      </c>
      <c r="O264" s="23">
        <v>176</v>
      </c>
      <c r="P264" s="23">
        <v>212</v>
      </c>
      <c r="Q264" s="24"/>
    </row>
    <row r="265" spans="11:17" x14ac:dyDescent="0.3">
      <c r="K265" s="85" t="s">
        <v>1510</v>
      </c>
      <c r="L265" s="23" t="s">
        <v>1514</v>
      </c>
      <c r="M265" s="23" t="s">
        <v>1507</v>
      </c>
      <c r="N265" s="23">
        <v>1999</v>
      </c>
      <c r="O265" s="23">
        <v>183</v>
      </c>
      <c r="P265" s="23">
        <v>42</v>
      </c>
      <c r="Q265" s="24"/>
    </row>
    <row r="266" spans="11:17" x14ac:dyDescent="0.3">
      <c r="K266" s="85" t="s">
        <v>1510</v>
      </c>
      <c r="L266" s="23" t="s">
        <v>1514</v>
      </c>
      <c r="M266" s="23" t="s">
        <v>1508</v>
      </c>
      <c r="N266" s="23">
        <v>1999</v>
      </c>
      <c r="O266" s="23">
        <v>215</v>
      </c>
      <c r="P266" s="23">
        <v>423</v>
      </c>
      <c r="Q266" s="24"/>
    </row>
    <row r="267" spans="11:17" x14ac:dyDescent="0.3">
      <c r="K267" s="85" t="s">
        <v>1510</v>
      </c>
      <c r="L267" s="23" t="s">
        <v>1514</v>
      </c>
      <c r="M267" s="23" t="s">
        <v>1509</v>
      </c>
      <c r="N267" s="23">
        <v>1999</v>
      </c>
      <c r="O267" s="23">
        <v>144</v>
      </c>
      <c r="P267" s="23">
        <v>-169</v>
      </c>
      <c r="Q267" s="24"/>
    </row>
    <row r="268" spans="11:17" x14ac:dyDescent="0.3">
      <c r="K268" s="85" t="s">
        <v>1500</v>
      </c>
      <c r="L268" s="23" t="s">
        <v>1514</v>
      </c>
      <c r="M268" s="23" t="s">
        <v>1501</v>
      </c>
      <c r="N268" s="23">
        <v>1998</v>
      </c>
      <c r="O268" s="23"/>
      <c r="P268" s="23">
        <v>4093</v>
      </c>
      <c r="Q268" s="24"/>
    </row>
    <row r="269" spans="11:17" x14ac:dyDescent="0.3">
      <c r="K269" s="85" t="s">
        <v>1500</v>
      </c>
      <c r="L269" s="23" t="s">
        <v>1514</v>
      </c>
      <c r="M269" s="23" t="s">
        <v>1502</v>
      </c>
      <c r="N269" s="23">
        <v>1998</v>
      </c>
      <c r="O269" s="23"/>
      <c r="P269" s="23">
        <v>2369</v>
      </c>
      <c r="Q269" s="24"/>
    </row>
    <row r="270" spans="11:17" x14ac:dyDescent="0.3">
      <c r="K270" s="85" t="s">
        <v>1500</v>
      </c>
      <c r="L270" s="23" t="s">
        <v>1514</v>
      </c>
      <c r="M270" s="23" t="s">
        <v>1503</v>
      </c>
      <c r="N270" s="23">
        <v>1998</v>
      </c>
      <c r="O270" s="23"/>
      <c r="P270" s="23">
        <v>1982</v>
      </c>
      <c r="Q270" s="24"/>
    </row>
    <row r="271" spans="11:17" x14ac:dyDescent="0.3">
      <c r="K271" s="85" t="s">
        <v>1500</v>
      </c>
      <c r="L271" s="23" t="s">
        <v>1514</v>
      </c>
      <c r="M271" s="23" t="s">
        <v>1504</v>
      </c>
      <c r="N271" s="23">
        <v>1998</v>
      </c>
      <c r="O271" s="23"/>
      <c r="P271" s="23">
        <v>1163</v>
      </c>
      <c r="Q271" s="24"/>
    </row>
    <row r="272" spans="11:17" x14ac:dyDescent="0.3">
      <c r="K272" s="85" t="s">
        <v>1500</v>
      </c>
      <c r="L272" s="23" t="s">
        <v>1514</v>
      </c>
      <c r="M272" s="23" t="s">
        <v>1505</v>
      </c>
      <c r="N272" s="23">
        <v>1998</v>
      </c>
      <c r="O272" s="23"/>
      <c r="P272" s="23">
        <v>-776</v>
      </c>
      <c r="Q272" s="24"/>
    </row>
    <row r="273" spans="11:17" x14ac:dyDescent="0.3">
      <c r="K273" s="85" t="s">
        <v>1500</v>
      </c>
      <c r="L273" s="23" t="s">
        <v>1514</v>
      </c>
      <c r="M273" s="23" t="s">
        <v>1506</v>
      </c>
      <c r="N273" s="23">
        <v>1998</v>
      </c>
      <c r="O273" s="23">
        <v>233</v>
      </c>
      <c r="P273" s="23">
        <v>601</v>
      </c>
      <c r="Q273" s="24"/>
    </row>
    <row r="274" spans="11:17" x14ac:dyDescent="0.3">
      <c r="K274" s="85" t="s">
        <v>1500</v>
      </c>
      <c r="L274" s="23" t="s">
        <v>1514</v>
      </c>
      <c r="M274" s="23" t="s">
        <v>1507</v>
      </c>
      <c r="N274" s="23">
        <v>1998</v>
      </c>
      <c r="O274" s="23">
        <v>240</v>
      </c>
      <c r="P274" s="23">
        <v>156</v>
      </c>
      <c r="Q274" s="24"/>
    </row>
    <row r="275" spans="11:17" x14ac:dyDescent="0.3">
      <c r="K275" s="85" t="s">
        <v>1500</v>
      </c>
      <c r="L275" s="23" t="s">
        <v>1514</v>
      </c>
      <c r="M275" s="23" t="s">
        <v>1508</v>
      </c>
      <c r="N275" s="23">
        <v>1998</v>
      </c>
      <c r="O275" s="23">
        <v>272</v>
      </c>
      <c r="P275" s="23">
        <v>257</v>
      </c>
      <c r="Q275" s="24"/>
    </row>
    <row r="276" spans="11:17" x14ac:dyDescent="0.3">
      <c r="K276" s="85" t="s">
        <v>1500</v>
      </c>
      <c r="L276" s="23" t="s">
        <v>1514</v>
      </c>
      <c r="M276" s="23" t="s">
        <v>1509</v>
      </c>
      <c r="N276" s="23">
        <v>1998</v>
      </c>
      <c r="O276" s="23">
        <v>201</v>
      </c>
      <c r="P276" s="23">
        <v>500</v>
      </c>
      <c r="Q276" s="24"/>
    </row>
    <row r="277" spans="11:17" x14ac:dyDescent="0.3">
      <c r="K277" s="85" t="s">
        <v>1510</v>
      </c>
      <c r="L277" s="23" t="s">
        <v>1514</v>
      </c>
      <c r="M277" s="23" t="s">
        <v>1501</v>
      </c>
      <c r="N277" s="23">
        <v>1998</v>
      </c>
      <c r="O277" s="23"/>
      <c r="P277" s="23">
        <v>5229</v>
      </c>
      <c r="Q277" s="24"/>
    </row>
    <row r="278" spans="11:17" x14ac:dyDescent="0.3">
      <c r="K278" s="85" t="s">
        <v>1510</v>
      </c>
      <c r="L278" s="23" t="s">
        <v>1514</v>
      </c>
      <c r="M278" s="23" t="s">
        <v>1502</v>
      </c>
      <c r="N278" s="23">
        <v>1998</v>
      </c>
      <c r="O278" s="23"/>
      <c r="P278" s="23">
        <v>3354</v>
      </c>
      <c r="Q278" s="24"/>
    </row>
    <row r="279" spans="11:17" x14ac:dyDescent="0.3">
      <c r="K279" s="85" t="s">
        <v>1510</v>
      </c>
      <c r="L279" s="23" t="s">
        <v>1514</v>
      </c>
      <c r="M279" s="23" t="s">
        <v>1503</v>
      </c>
      <c r="N279" s="23">
        <v>1998</v>
      </c>
      <c r="O279" s="23"/>
      <c r="P279" s="23">
        <v>1835</v>
      </c>
      <c r="Q279" s="24"/>
    </row>
    <row r="280" spans="11:17" x14ac:dyDescent="0.3">
      <c r="K280" s="85" t="s">
        <v>1510</v>
      </c>
      <c r="L280" s="23" t="s">
        <v>1514</v>
      </c>
      <c r="M280" s="23" t="s">
        <v>1504</v>
      </c>
      <c r="N280" s="23">
        <v>1998</v>
      </c>
      <c r="O280" s="23"/>
      <c r="P280" s="23">
        <v>1280</v>
      </c>
      <c r="Q280" s="24"/>
    </row>
    <row r="281" spans="11:17" x14ac:dyDescent="0.3">
      <c r="K281" s="85" t="s">
        <v>1510</v>
      </c>
      <c r="L281" s="23" t="s">
        <v>1514</v>
      </c>
      <c r="M281" s="23" t="s">
        <v>1505</v>
      </c>
      <c r="N281" s="23">
        <v>1998</v>
      </c>
      <c r="O281" s="23"/>
      <c r="P281" s="23">
        <v>239</v>
      </c>
      <c r="Q281" s="24"/>
    </row>
    <row r="282" spans="11:17" x14ac:dyDescent="0.3">
      <c r="K282" s="85" t="s">
        <v>1510</v>
      </c>
      <c r="L282" s="23" t="s">
        <v>1514</v>
      </c>
      <c r="M282" s="23" t="s">
        <v>1506</v>
      </c>
      <c r="N282" s="23">
        <v>1998</v>
      </c>
      <c r="O282" s="23">
        <v>234</v>
      </c>
      <c r="P282" s="23">
        <v>282</v>
      </c>
      <c r="Q282" s="24"/>
    </row>
    <row r="283" spans="11:17" x14ac:dyDescent="0.3">
      <c r="K283" s="85" t="s">
        <v>1510</v>
      </c>
      <c r="L283" s="23" t="s">
        <v>1514</v>
      </c>
      <c r="M283" s="23" t="s">
        <v>1507</v>
      </c>
      <c r="N283" s="23">
        <v>1998</v>
      </c>
      <c r="O283" s="23">
        <v>241</v>
      </c>
      <c r="P283" s="23">
        <v>84</v>
      </c>
      <c r="Q283" s="24"/>
    </row>
    <row r="284" spans="11:17" x14ac:dyDescent="0.3">
      <c r="K284" s="85" t="s">
        <v>1510</v>
      </c>
      <c r="L284" s="23" t="s">
        <v>1514</v>
      </c>
      <c r="M284" s="23" t="s">
        <v>1508</v>
      </c>
      <c r="N284" s="23">
        <v>1998</v>
      </c>
      <c r="O284" s="23">
        <v>273</v>
      </c>
      <c r="P284" s="23">
        <v>210</v>
      </c>
      <c r="Q284" s="24"/>
    </row>
    <row r="285" spans="11:17" x14ac:dyDescent="0.3">
      <c r="K285" s="85" t="s">
        <v>1510</v>
      </c>
      <c r="L285" s="23" t="s">
        <v>1514</v>
      </c>
      <c r="M285" s="23" t="s">
        <v>1509</v>
      </c>
      <c r="N285" s="23">
        <v>1998</v>
      </c>
      <c r="O285" s="23">
        <v>202</v>
      </c>
      <c r="P285" s="23">
        <v>156</v>
      </c>
      <c r="Q285" s="24"/>
    </row>
    <row r="286" spans="11:17" x14ac:dyDescent="0.3">
      <c r="K286" s="85" t="s">
        <v>1500</v>
      </c>
      <c r="L286" s="23" t="s">
        <v>1515</v>
      </c>
      <c r="M286" s="23" t="s">
        <v>1501</v>
      </c>
      <c r="N286" s="23">
        <v>2000</v>
      </c>
      <c r="O286" s="23"/>
      <c r="P286" s="23">
        <v>4709</v>
      </c>
      <c r="Q286" s="24"/>
    </row>
    <row r="287" spans="11:17" x14ac:dyDescent="0.3">
      <c r="K287" s="85" t="s">
        <v>1500</v>
      </c>
      <c r="L287" s="23" t="s">
        <v>1515</v>
      </c>
      <c r="M287" s="23" t="s">
        <v>1502</v>
      </c>
      <c r="N287" s="23">
        <v>2000</v>
      </c>
      <c r="O287" s="23"/>
      <c r="P287" s="23">
        <v>3177</v>
      </c>
      <c r="Q287" s="24"/>
    </row>
    <row r="288" spans="11:17" x14ac:dyDescent="0.3">
      <c r="K288" s="85" t="s">
        <v>1500</v>
      </c>
      <c r="L288" s="23" t="s">
        <v>1515</v>
      </c>
      <c r="M288" s="23" t="s">
        <v>1503</v>
      </c>
      <c r="N288" s="23">
        <v>2000</v>
      </c>
      <c r="O288" s="23"/>
      <c r="P288" s="23">
        <v>2185</v>
      </c>
      <c r="Q288" s="24"/>
    </row>
    <row r="289" spans="11:17" x14ac:dyDescent="0.3">
      <c r="K289" s="85" t="s">
        <v>1500</v>
      </c>
      <c r="L289" s="23" t="s">
        <v>1515</v>
      </c>
      <c r="M289" s="23" t="s">
        <v>1504</v>
      </c>
      <c r="N289" s="23">
        <v>2000</v>
      </c>
      <c r="O289" s="23"/>
      <c r="P289" s="23">
        <v>967</v>
      </c>
      <c r="Q289" s="24"/>
    </row>
    <row r="290" spans="11:17" x14ac:dyDescent="0.3">
      <c r="K290" s="85" t="s">
        <v>1500</v>
      </c>
      <c r="L290" s="23" t="s">
        <v>1515</v>
      </c>
      <c r="M290" s="23" t="s">
        <v>1505</v>
      </c>
      <c r="N290" s="23">
        <v>2000</v>
      </c>
      <c r="O290" s="23"/>
      <c r="P290" s="23">
        <v>25</v>
      </c>
      <c r="Q290" s="24"/>
    </row>
    <row r="291" spans="11:17" x14ac:dyDescent="0.3">
      <c r="K291" s="85" t="s">
        <v>1500</v>
      </c>
      <c r="L291" s="23" t="s">
        <v>1515</v>
      </c>
      <c r="M291" s="23" t="s">
        <v>1506</v>
      </c>
      <c r="N291" s="23">
        <v>2000</v>
      </c>
      <c r="O291" s="23">
        <v>107</v>
      </c>
      <c r="P291" s="23">
        <v>86</v>
      </c>
      <c r="Q291" s="24"/>
    </row>
    <row r="292" spans="11:17" x14ac:dyDescent="0.3">
      <c r="K292" s="85" t="s">
        <v>1500</v>
      </c>
      <c r="L292" s="23" t="s">
        <v>1515</v>
      </c>
      <c r="M292" s="23" t="s">
        <v>1507</v>
      </c>
      <c r="N292" s="23">
        <v>2000</v>
      </c>
      <c r="O292" s="23">
        <v>114</v>
      </c>
      <c r="P292" s="23">
        <v>37</v>
      </c>
      <c r="Q292" s="24"/>
    </row>
    <row r="293" spans="11:17" x14ac:dyDescent="0.3">
      <c r="K293" s="85" t="s">
        <v>1500</v>
      </c>
      <c r="L293" s="23" t="s">
        <v>1515</v>
      </c>
      <c r="M293" s="23" t="s">
        <v>1508</v>
      </c>
      <c r="N293" s="23">
        <v>2000</v>
      </c>
      <c r="O293" s="23">
        <v>146</v>
      </c>
      <c r="P293" s="23">
        <v>116</v>
      </c>
      <c r="Q293" s="24"/>
    </row>
    <row r="294" spans="11:17" x14ac:dyDescent="0.3">
      <c r="K294" s="85" t="s">
        <v>1500</v>
      </c>
      <c r="L294" s="23" t="s">
        <v>1515</v>
      </c>
      <c r="M294" s="23" t="s">
        <v>1509</v>
      </c>
      <c r="N294" s="23">
        <v>2000</v>
      </c>
      <c r="O294" s="23">
        <v>75</v>
      </c>
      <c r="P294" s="23">
        <v>7</v>
      </c>
      <c r="Q294" s="24"/>
    </row>
    <row r="295" spans="11:17" x14ac:dyDescent="0.3">
      <c r="K295" s="85" t="s">
        <v>1510</v>
      </c>
      <c r="L295" s="23" t="s">
        <v>1515</v>
      </c>
      <c r="M295" s="23" t="s">
        <v>1501</v>
      </c>
      <c r="N295" s="23">
        <v>2000</v>
      </c>
      <c r="O295" s="23"/>
      <c r="P295" s="23">
        <v>5022</v>
      </c>
      <c r="Q295" s="24"/>
    </row>
    <row r="296" spans="11:17" x14ac:dyDescent="0.3">
      <c r="K296" s="85" t="s">
        <v>1510</v>
      </c>
      <c r="L296" s="23" t="s">
        <v>1515</v>
      </c>
      <c r="M296" s="23" t="s">
        <v>1502</v>
      </c>
      <c r="N296" s="23">
        <v>2000</v>
      </c>
      <c r="O296" s="23"/>
      <c r="P296" s="23">
        <v>2831</v>
      </c>
      <c r="Q296" s="24"/>
    </row>
    <row r="297" spans="11:17" x14ac:dyDescent="0.3">
      <c r="K297" s="85" t="s">
        <v>1510</v>
      </c>
      <c r="L297" s="23" t="s">
        <v>1515</v>
      </c>
      <c r="M297" s="23" t="s">
        <v>1503</v>
      </c>
      <c r="N297" s="23">
        <v>2000</v>
      </c>
      <c r="O297" s="23"/>
      <c r="P297" s="23">
        <v>1735</v>
      </c>
      <c r="Q297" s="24"/>
    </row>
    <row r="298" spans="11:17" x14ac:dyDescent="0.3">
      <c r="K298" s="85" t="s">
        <v>1510</v>
      </c>
      <c r="L298" s="23" t="s">
        <v>1515</v>
      </c>
      <c r="M298" s="23" t="s">
        <v>1504</v>
      </c>
      <c r="N298" s="23">
        <v>2000</v>
      </c>
      <c r="O298" s="23"/>
      <c r="P298" s="23">
        <v>670</v>
      </c>
      <c r="Q298" s="24"/>
    </row>
    <row r="299" spans="11:17" x14ac:dyDescent="0.3">
      <c r="K299" s="85" t="s">
        <v>1510</v>
      </c>
      <c r="L299" s="23" t="s">
        <v>1515</v>
      </c>
      <c r="M299" s="23" t="s">
        <v>1505</v>
      </c>
      <c r="N299" s="23">
        <v>2000</v>
      </c>
      <c r="O299" s="23"/>
      <c r="P299" s="23">
        <v>426</v>
      </c>
      <c r="Q299" s="24"/>
    </row>
    <row r="300" spans="11:17" x14ac:dyDescent="0.3">
      <c r="K300" s="85" t="s">
        <v>1510</v>
      </c>
      <c r="L300" s="23" t="s">
        <v>1515</v>
      </c>
      <c r="M300" s="23" t="s">
        <v>1506</v>
      </c>
      <c r="N300" s="23">
        <v>2000</v>
      </c>
      <c r="O300" s="23">
        <v>108</v>
      </c>
      <c r="P300" s="23">
        <v>88</v>
      </c>
      <c r="Q300" s="24"/>
    </row>
    <row r="301" spans="11:17" x14ac:dyDescent="0.3">
      <c r="K301" s="85" t="s">
        <v>1510</v>
      </c>
      <c r="L301" s="23" t="s">
        <v>1515</v>
      </c>
      <c r="M301" s="23" t="s">
        <v>1507</v>
      </c>
      <c r="N301" s="23">
        <v>2000</v>
      </c>
      <c r="O301" s="23">
        <v>115</v>
      </c>
      <c r="P301" s="23">
        <v>126</v>
      </c>
      <c r="Q301" s="24"/>
    </row>
    <row r="302" spans="11:17" x14ac:dyDescent="0.3">
      <c r="K302" s="85" t="s">
        <v>1510</v>
      </c>
      <c r="L302" s="23" t="s">
        <v>1515</v>
      </c>
      <c r="M302" s="23" t="s">
        <v>1508</v>
      </c>
      <c r="N302" s="23">
        <v>2000</v>
      </c>
      <c r="O302" s="23">
        <v>147</v>
      </c>
      <c r="P302" s="23">
        <v>80</v>
      </c>
      <c r="Q302" s="24"/>
    </row>
    <row r="303" spans="11:17" x14ac:dyDescent="0.3">
      <c r="K303" s="85" t="s">
        <v>1510</v>
      </c>
      <c r="L303" s="23" t="s">
        <v>1515</v>
      </c>
      <c r="M303" s="23" t="s">
        <v>1509</v>
      </c>
      <c r="N303" s="23">
        <v>2000</v>
      </c>
      <c r="O303" s="23">
        <v>76</v>
      </c>
      <c r="P303" s="23">
        <v>134</v>
      </c>
      <c r="Q303" s="24"/>
    </row>
    <row r="304" spans="11:17" x14ac:dyDescent="0.3">
      <c r="K304" s="85" t="s">
        <v>1500</v>
      </c>
      <c r="L304" s="23" t="s">
        <v>1515</v>
      </c>
      <c r="M304" s="23" t="s">
        <v>1501</v>
      </c>
      <c r="N304" s="23">
        <v>1999</v>
      </c>
      <c r="O304" s="23"/>
      <c r="P304" s="23">
        <v>5278</v>
      </c>
      <c r="Q304" s="24"/>
    </row>
    <row r="305" spans="11:17" x14ac:dyDescent="0.3">
      <c r="K305" s="85" t="s">
        <v>1500</v>
      </c>
      <c r="L305" s="23" t="s">
        <v>1515</v>
      </c>
      <c r="M305" s="23" t="s">
        <v>1502</v>
      </c>
      <c r="N305" s="23">
        <v>1999</v>
      </c>
      <c r="O305" s="23"/>
      <c r="P305" s="23">
        <v>2175</v>
      </c>
      <c r="Q305" s="24"/>
    </row>
    <row r="306" spans="11:17" x14ac:dyDescent="0.3">
      <c r="K306" s="85" t="s">
        <v>1500</v>
      </c>
      <c r="L306" s="23" t="s">
        <v>1515</v>
      </c>
      <c r="M306" s="23" t="s">
        <v>1503</v>
      </c>
      <c r="N306" s="23">
        <v>1999</v>
      </c>
      <c r="O306" s="23"/>
      <c r="P306" s="23">
        <v>1106</v>
      </c>
      <c r="Q306" s="24"/>
    </row>
    <row r="307" spans="11:17" x14ac:dyDescent="0.3">
      <c r="K307" s="85" t="s">
        <v>1500</v>
      </c>
      <c r="L307" s="23" t="s">
        <v>1515</v>
      </c>
      <c r="M307" s="23" t="s">
        <v>1504</v>
      </c>
      <c r="N307" s="23">
        <v>1999</v>
      </c>
      <c r="O307" s="23"/>
      <c r="P307" s="23">
        <v>635</v>
      </c>
      <c r="Q307" s="24"/>
    </row>
    <row r="308" spans="11:17" x14ac:dyDescent="0.3">
      <c r="K308" s="85" t="s">
        <v>1500</v>
      </c>
      <c r="L308" s="23" t="s">
        <v>1515</v>
      </c>
      <c r="M308" s="23" t="s">
        <v>1505</v>
      </c>
      <c r="N308" s="23">
        <v>1999</v>
      </c>
      <c r="O308" s="23"/>
      <c r="P308" s="23">
        <v>434</v>
      </c>
      <c r="Q308" s="24"/>
    </row>
    <row r="309" spans="11:17" x14ac:dyDescent="0.3">
      <c r="K309" s="85" t="s">
        <v>1500</v>
      </c>
      <c r="L309" s="23" t="s">
        <v>1515</v>
      </c>
      <c r="M309" s="23" t="s">
        <v>1506</v>
      </c>
      <c r="N309" s="23">
        <v>1999</v>
      </c>
      <c r="O309" s="23">
        <v>165</v>
      </c>
      <c r="P309" s="23">
        <v>137</v>
      </c>
      <c r="Q309" s="24"/>
    </row>
    <row r="310" spans="11:17" x14ac:dyDescent="0.3">
      <c r="K310" s="85" t="s">
        <v>1500</v>
      </c>
      <c r="L310" s="23" t="s">
        <v>1515</v>
      </c>
      <c r="M310" s="23" t="s">
        <v>1507</v>
      </c>
      <c r="N310" s="23">
        <v>1999</v>
      </c>
      <c r="O310" s="23">
        <v>172</v>
      </c>
      <c r="P310" s="23">
        <v>53</v>
      </c>
      <c r="Q310" s="24"/>
    </row>
    <row r="311" spans="11:17" x14ac:dyDescent="0.3">
      <c r="K311" s="85" t="s">
        <v>1500</v>
      </c>
      <c r="L311" s="23" t="s">
        <v>1515</v>
      </c>
      <c r="M311" s="23" t="s">
        <v>1508</v>
      </c>
      <c r="N311" s="23">
        <v>1999</v>
      </c>
      <c r="O311" s="23">
        <v>204</v>
      </c>
      <c r="P311" s="23">
        <v>137</v>
      </c>
      <c r="Q311" s="24"/>
    </row>
    <row r="312" spans="11:17" x14ac:dyDescent="0.3">
      <c r="K312" s="85" t="s">
        <v>1500</v>
      </c>
      <c r="L312" s="23" t="s">
        <v>1515</v>
      </c>
      <c r="M312" s="23" t="s">
        <v>1509</v>
      </c>
      <c r="N312" s="23">
        <v>1999</v>
      </c>
      <c r="O312" s="23">
        <v>133</v>
      </c>
      <c r="P312" s="23">
        <v>53</v>
      </c>
      <c r="Q312" s="24"/>
    </row>
    <row r="313" spans="11:17" x14ac:dyDescent="0.3">
      <c r="K313" s="85" t="s">
        <v>1510</v>
      </c>
      <c r="L313" s="23" t="s">
        <v>1515</v>
      </c>
      <c r="M313" s="23" t="s">
        <v>1501</v>
      </c>
      <c r="N313" s="23">
        <v>1999</v>
      </c>
      <c r="O313" s="23"/>
      <c r="P313" s="23">
        <v>12473</v>
      </c>
      <c r="Q313" s="24"/>
    </row>
    <row r="314" spans="11:17" x14ac:dyDescent="0.3">
      <c r="K314" s="85" t="s">
        <v>1510</v>
      </c>
      <c r="L314" s="23" t="s">
        <v>1515</v>
      </c>
      <c r="M314" s="23" t="s">
        <v>1502</v>
      </c>
      <c r="N314" s="23">
        <v>1999</v>
      </c>
      <c r="O314" s="23"/>
      <c r="P314" s="23">
        <v>4267</v>
      </c>
      <c r="Q314" s="24"/>
    </row>
    <row r="315" spans="11:17" x14ac:dyDescent="0.3">
      <c r="K315" s="85" t="s">
        <v>1510</v>
      </c>
      <c r="L315" s="23" t="s">
        <v>1515</v>
      </c>
      <c r="M315" s="23" t="s">
        <v>1503</v>
      </c>
      <c r="N315" s="23">
        <v>1999</v>
      </c>
      <c r="O315" s="23"/>
      <c r="P315" s="23">
        <v>1907</v>
      </c>
      <c r="Q315" s="24"/>
    </row>
    <row r="316" spans="11:17" x14ac:dyDescent="0.3">
      <c r="K316" s="85" t="s">
        <v>1510</v>
      </c>
      <c r="L316" s="23" t="s">
        <v>1515</v>
      </c>
      <c r="M316" s="23" t="s">
        <v>1504</v>
      </c>
      <c r="N316" s="23">
        <v>1999</v>
      </c>
      <c r="O316" s="23"/>
      <c r="P316" s="23">
        <v>930</v>
      </c>
      <c r="Q316" s="24"/>
    </row>
    <row r="317" spans="11:17" x14ac:dyDescent="0.3">
      <c r="K317" s="85" t="s">
        <v>1510</v>
      </c>
      <c r="L317" s="23" t="s">
        <v>1515</v>
      </c>
      <c r="M317" s="23" t="s">
        <v>1505</v>
      </c>
      <c r="N317" s="23">
        <v>1999</v>
      </c>
      <c r="O317" s="23"/>
      <c r="P317" s="23">
        <v>1430</v>
      </c>
      <c r="Q317" s="24"/>
    </row>
    <row r="318" spans="11:17" x14ac:dyDescent="0.3">
      <c r="K318" s="85" t="s">
        <v>1510</v>
      </c>
      <c r="L318" s="23" t="s">
        <v>1515</v>
      </c>
      <c r="M318" s="23" t="s">
        <v>1506</v>
      </c>
      <c r="N318" s="23">
        <v>1999</v>
      </c>
      <c r="O318" s="23">
        <v>166</v>
      </c>
      <c r="P318" s="23">
        <v>269</v>
      </c>
      <c r="Q318" s="24"/>
    </row>
    <row r="319" spans="11:17" x14ac:dyDescent="0.3">
      <c r="K319" s="85" t="s">
        <v>1510</v>
      </c>
      <c r="L319" s="23" t="s">
        <v>1515</v>
      </c>
      <c r="M319" s="23" t="s">
        <v>1507</v>
      </c>
      <c r="N319" s="23">
        <v>1999</v>
      </c>
      <c r="O319" s="23">
        <v>173</v>
      </c>
      <c r="P319" s="23">
        <v>100</v>
      </c>
      <c r="Q319" s="24"/>
    </row>
    <row r="320" spans="11:17" x14ac:dyDescent="0.3">
      <c r="K320" s="85" t="s">
        <v>1510</v>
      </c>
      <c r="L320" s="23" t="s">
        <v>1515</v>
      </c>
      <c r="M320" s="23" t="s">
        <v>1508</v>
      </c>
      <c r="N320" s="23">
        <v>1999</v>
      </c>
      <c r="O320" s="23">
        <v>205</v>
      </c>
      <c r="P320" s="23">
        <v>124</v>
      </c>
      <c r="Q320" s="24"/>
    </row>
    <row r="321" spans="11:17" x14ac:dyDescent="0.3">
      <c r="K321" s="85" t="s">
        <v>1510</v>
      </c>
      <c r="L321" s="23" t="s">
        <v>1515</v>
      </c>
      <c r="M321" s="23" t="s">
        <v>1509</v>
      </c>
      <c r="N321" s="23">
        <v>1999</v>
      </c>
      <c r="O321" s="23">
        <v>134</v>
      </c>
      <c r="P321" s="23">
        <v>245</v>
      </c>
      <c r="Q321" s="24"/>
    </row>
    <row r="322" spans="11:17" x14ac:dyDescent="0.3">
      <c r="K322" s="85" t="s">
        <v>1500</v>
      </c>
      <c r="L322" s="23" t="s">
        <v>1515</v>
      </c>
      <c r="M322" s="23" t="s">
        <v>1501</v>
      </c>
      <c r="N322" s="23">
        <v>1998</v>
      </c>
      <c r="O322" s="23"/>
      <c r="P322" s="23">
        <v>3252</v>
      </c>
      <c r="Q322" s="24"/>
    </row>
    <row r="323" spans="11:17" x14ac:dyDescent="0.3">
      <c r="K323" s="85" t="s">
        <v>1500</v>
      </c>
      <c r="L323" s="23" t="s">
        <v>1515</v>
      </c>
      <c r="M323" s="23" t="s">
        <v>1502</v>
      </c>
      <c r="N323" s="23">
        <v>1998</v>
      </c>
      <c r="O323" s="23"/>
      <c r="P323" s="23">
        <v>1295</v>
      </c>
      <c r="Q323" s="24"/>
    </row>
    <row r="324" spans="11:17" x14ac:dyDescent="0.3">
      <c r="K324" s="85" t="s">
        <v>1500</v>
      </c>
      <c r="L324" s="23" t="s">
        <v>1515</v>
      </c>
      <c r="M324" s="23" t="s">
        <v>1503</v>
      </c>
      <c r="N324" s="23">
        <v>1998</v>
      </c>
      <c r="O324" s="23"/>
      <c r="P324" s="23">
        <v>973</v>
      </c>
      <c r="Q324" s="24"/>
    </row>
    <row r="325" spans="11:17" x14ac:dyDescent="0.3">
      <c r="K325" s="85" t="s">
        <v>1500</v>
      </c>
      <c r="L325" s="23" t="s">
        <v>1515</v>
      </c>
      <c r="M325" s="23" t="s">
        <v>1504</v>
      </c>
      <c r="N325" s="23">
        <v>1998</v>
      </c>
      <c r="O325" s="23"/>
      <c r="P325" s="23">
        <v>574</v>
      </c>
      <c r="Q325" s="24"/>
    </row>
    <row r="326" spans="11:17" x14ac:dyDescent="0.3">
      <c r="K326" s="85" t="s">
        <v>1500</v>
      </c>
      <c r="L326" s="23" t="s">
        <v>1515</v>
      </c>
      <c r="M326" s="23" t="s">
        <v>1505</v>
      </c>
      <c r="N326" s="23">
        <v>1998</v>
      </c>
      <c r="O326" s="23"/>
      <c r="P326" s="23">
        <v>-252</v>
      </c>
      <c r="Q326" s="24"/>
    </row>
    <row r="327" spans="11:17" x14ac:dyDescent="0.3">
      <c r="K327" s="85" t="s">
        <v>1500</v>
      </c>
      <c r="L327" s="23" t="s">
        <v>1515</v>
      </c>
      <c r="M327" s="23" t="s">
        <v>1506</v>
      </c>
      <c r="N327" s="23">
        <v>1998</v>
      </c>
      <c r="O327" s="23">
        <v>223</v>
      </c>
      <c r="P327" s="23">
        <v>178</v>
      </c>
      <c r="Q327" s="24"/>
    </row>
    <row r="328" spans="11:17" x14ac:dyDescent="0.3">
      <c r="K328" s="85" t="s">
        <v>1500</v>
      </c>
      <c r="L328" s="23" t="s">
        <v>1515</v>
      </c>
      <c r="M328" s="23" t="s">
        <v>1507</v>
      </c>
      <c r="N328" s="23">
        <v>1998</v>
      </c>
      <c r="O328" s="23">
        <v>230</v>
      </c>
      <c r="P328" s="23">
        <v>180</v>
      </c>
      <c r="Q328" s="24"/>
    </row>
    <row r="329" spans="11:17" x14ac:dyDescent="0.3">
      <c r="K329" s="85" t="s">
        <v>1500</v>
      </c>
      <c r="L329" s="23" t="s">
        <v>1515</v>
      </c>
      <c r="M329" s="23" t="s">
        <v>1508</v>
      </c>
      <c r="N329" s="23">
        <v>1998</v>
      </c>
      <c r="O329" s="23">
        <v>262</v>
      </c>
      <c r="P329" s="23">
        <v>141</v>
      </c>
      <c r="Q329" s="24"/>
    </row>
    <row r="330" spans="11:17" x14ac:dyDescent="0.3">
      <c r="K330" s="85" t="s">
        <v>1500</v>
      </c>
      <c r="L330" s="23" t="s">
        <v>1515</v>
      </c>
      <c r="M330" s="23" t="s">
        <v>1509</v>
      </c>
      <c r="N330" s="23">
        <v>1998</v>
      </c>
      <c r="O330" s="23">
        <v>191</v>
      </c>
      <c r="P330" s="23">
        <v>217</v>
      </c>
      <c r="Q330" s="24"/>
    </row>
    <row r="331" spans="11:17" x14ac:dyDescent="0.3">
      <c r="K331" s="85" t="s">
        <v>1510</v>
      </c>
      <c r="L331" s="23" t="s">
        <v>1515</v>
      </c>
      <c r="M331" s="23" t="s">
        <v>1501</v>
      </c>
      <c r="N331" s="23">
        <v>1998</v>
      </c>
      <c r="O331" s="23"/>
      <c r="P331" s="23">
        <v>7997</v>
      </c>
      <c r="Q331" s="24"/>
    </row>
    <row r="332" spans="11:17" x14ac:dyDescent="0.3">
      <c r="K332" s="85" t="s">
        <v>1510</v>
      </c>
      <c r="L332" s="23" t="s">
        <v>1515</v>
      </c>
      <c r="M332" s="23" t="s">
        <v>1502</v>
      </c>
      <c r="N332" s="23">
        <v>1998</v>
      </c>
      <c r="O332" s="23"/>
      <c r="P332" s="23">
        <v>2238</v>
      </c>
      <c r="Q332" s="24"/>
    </row>
    <row r="333" spans="11:17" x14ac:dyDescent="0.3">
      <c r="K333" s="85" t="s">
        <v>1510</v>
      </c>
      <c r="L333" s="23" t="s">
        <v>1515</v>
      </c>
      <c r="M333" s="23" t="s">
        <v>1503</v>
      </c>
      <c r="N333" s="23">
        <v>1998</v>
      </c>
      <c r="O333" s="23"/>
      <c r="P333" s="23">
        <v>794</v>
      </c>
      <c r="Q333" s="24"/>
    </row>
    <row r="334" spans="11:17" x14ac:dyDescent="0.3">
      <c r="K334" s="85" t="s">
        <v>1510</v>
      </c>
      <c r="L334" s="23" t="s">
        <v>1515</v>
      </c>
      <c r="M334" s="23" t="s">
        <v>1504</v>
      </c>
      <c r="N334" s="23">
        <v>1998</v>
      </c>
      <c r="O334" s="23"/>
      <c r="P334" s="23">
        <v>576</v>
      </c>
      <c r="Q334" s="24"/>
    </row>
    <row r="335" spans="11:17" x14ac:dyDescent="0.3">
      <c r="K335" s="85" t="s">
        <v>1510</v>
      </c>
      <c r="L335" s="23" t="s">
        <v>1515</v>
      </c>
      <c r="M335" s="23" t="s">
        <v>1505</v>
      </c>
      <c r="N335" s="23">
        <v>1998</v>
      </c>
      <c r="O335" s="23"/>
      <c r="P335" s="23">
        <v>868</v>
      </c>
      <c r="Q335" s="24"/>
    </row>
    <row r="336" spans="11:17" x14ac:dyDescent="0.3">
      <c r="K336" s="85" t="s">
        <v>1510</v>
      </c>
      <c r="L336" s="23" t="s">
        <v>1515</v>
      </c>
      <c r="M336" s="23" t="s">
        <v>1506</v>
      </c>
      <c r="N336" s="23">
        <v>1998</v>
      </c>
      <c r="O336" s="23">
        <v>224</v>
      </c>
      <c r="P336" s="23">
        <v>152</v>
      </c>
      <c r="Q336" s="24"/>
    </row>
    <row r="337" spans="11:17" x14ac:dyDescent="0.3">
      <c r="K337" s="85" t="s">
        <v>1510</v>
      </c>
      <c r="L337" s="23" t="s">
        <v>1515</v>
      </c>
      <c r="M337" s="23" t="s">
        <v>1507</v>
      </c>
      <c r="N337" s="23">
        <v>1998</v>
      </c>
      <c r="O337" s="23">
        <v>231</v>
      </c>
      <c r="P337" s="23">
        <v>205</v>
      </c>
      <c r="Q337" s="24"/>
    </row>
    <row r="338" spans="11:17" x14ac:dyDescent="0.3">
      <c r="K338" s="85" t="s">
        <v>1510</v>
      </c>
      <c r="L338" s="23" t="s">
        <v>1515</v>
      </c>
      <c r="M338" s="23" t="s">
        <v>1508</v>
      </c>
      <c r="N338" s="23">
        <v>1998</v>
      </c>
      <c r="O338" s="23">
        <v>263</v>
      </c>
      <c r="P338" s="23">
        <v>317</v>
      </c>
      <c r="Q338" s="24"/>
    </row>
    <row r="339" spans="11:17" x14ac:dyDescent="0.3">
      <c r="K339" s="85" t="s">
        <v>1510</v>
      </c>
      <c r="L339" s="23" t="s">
        <v>1515</v>
      </c>
      <c r="M339" s="23" t="s">
        <v>1509</v>
      </c>
      <c r="N339" s="23">
        <v>1998</v>
      </c>
      <c r="O339" s="23">
        <v>192</v>
      </c>
      <c r="P339" s="23">
        <v>40</v>
      </c>
      <c r="Q339" s="24"/>
    </row>
    <row r="340" spans="11:17" x14ac:dyDescent="0.3">
      <c r="K340" s="85" t="s">
        <v>1500</v>
      </c>
      <c r="L340" s="23" t="s">
        <v>1516</v>
      </c>
      <c r="M340" s="23" t="s">
        <v>1501</v>
      </c>
      <c r="N340" s="23">
        <v>2000</v>
      </c>
      <c r="O340" s="23"/>
      <c r="P340" s="23">
        <v>4631</v>
      </c>
      <c r="Q340" s="24"/>
    </row>
    <row r="341" spans="11:17" x14ac:dyDescent="0.3">
      <c r="K341" s="85" t="s">
        <v>1500</v>
      </c>
      <c r="L341" s="23" t="s">
        <v>1516</v>
      </c>
      <c r="M341" s="23" t="s">
        <v>1502</v>
      </c>
      <c r="N341" s="23">
        <v>2000</v>
      </c>
      <c r="O341" s="23"/>
      <c r="P341" s="23">
        <v>1547</v>
      </c>
      <c r="Q341" s="24"/>
    </row>
    <row r="342" spans="11:17" x14ac:dyDescent="0.3">
      <c r="K342" s="85" t="s">
        <v>1500</v>
      </c>
      <c r="L342" s="23" t="s">
        <v>1516</v>
      </c>
      <c r="M342" s="23" t="s">
        <v>1503</v>
      </c>
      <c r="N342" s="23">
        <v>2000</v>
      </c>
      <c r="O342" s="23"/>
      <c r="P342" s="23">
        <v>1084</v>
      </c>
      <c r="Q342" s="24"/>
    </row>
    <row r="343" spans="11:17" x14ac:dyDescent="0.3">
      <c r="K343" s="85" t="s">
        <v>1500</v>
      </c>
      <c r="L343" s="23" t="s">
        <v>1516</v>
      </c>
      <c r="M343" s="23" t="s">
        <v>1504</v>
      </c>
      <c r="N343" s="23">
        <v>2000</v>
      </c>
      <c r="O343" s="23"/>
      <c r="P343" s="23">
        <v>795</v>
      </c>
      <c r="Q343" s="24"/>
    </row>
    <row r="344" spans="11:17" x14ac:dyDescent="0.3">
      <c r="K344" s="85" t="s">
        <v>1500</v>
      </c>
      <c r="L344" s="23" t="s">
        <v>1516</v>
      </c>
      <c r="M344" s="23" t="s">
        <v>1505</v>
      </c>
      <c r="N344" s="23">
        <v>2000</v>
      </c>
      <c r="O344" s="23"/>
      <c r="P344" s="23">
        <v>-332</v>
      </c>
      <c r="Q344" s="24"/>
    </row>
    <row r="345" spans="11:17" x14ac:dyDescent="0.3">
      <c r="K345" s="85" t="s">
        <v>1500</v>
      </c>
      <c r="L345" s="23" t="s">
        <v>1516</v>
      </c>
      <c r="M345" s="23" t="s">
        <v>1506</v>
      </c>
      <c r="N345" s="23">
        <v>2000</v>
      </c>
      <c r="O345" s="23">
        <v>147</v>
      </c>
      <c r="P345" s="23">
        <v>140</v>
      </c>
      <c r="Q345" s="24"/>
    </row>
    <row r="346" spans="11:17" x14ac:dyDescent="0.3">
      <c r="K346" s="85" t="s">
        <v>1500</v>
      </c>
      <c r="L346" s="23" t="s">
        <v>1516</v>
      </c>
      <c r="M346" s="23" t="s">
        <v>1507</v>
      </c>
      <c r="N346" s="23">
        <v>2000</v>
      </c>
      <c r="O346" s="23">
        <v>154</v>
      </c>
      <c r="P346" s="23">
        <v>73</v>
      </c>
      <c r="Q346" s="24"/>
    </row>
    <row r="347" spans="11:17" x14ac:dyDescent="0.3">
      <c r="K347" s="85" t="s">
        <v>1500</v>
      </c>
      <c r="L347" s="23" t="s">
        <v>1516</v>
      </c>
      <c r="M347" s="23" t="s">
        <v>1508</v>
      </c>
      <c r="N347" s="23">
        <v>2000</v>
      </c>
      <c r="O347" s="23">
        <v>186</v>
      </c>
      <c r="P347" s="23">
        <v>180</v>
      </c>
      <c r="Q347" s="24"/>
    </row>
    <row r="348" spans="11:17" x14ac:dyDescent="0.3">
      <c r="K348" s="85" t="s">
        <v>1500</v>
      </c>
      <c r="L348" s="23" t="s">
        <v>1516</v>
      </c>
      <c r="M348" s="23" t="s">
        <v>1509</v>
      </c>
      <c r="N348" s="23">
        <v>2000</v>
      </c>
      <c r="O348" s="23">
        <v>115</v>
      </c>
      <c r="P348" s="23">
        <v>33</v>
      </c>
      <c r="Q348" s="24"/>
    </row>
    <row r="349" spans="11:17" x14ac:dyDescent="0.3">
      <c r="K349" s="85" t="s">
        <v>1510</v>
      </c>
      <c r="L349" s="23" t="s">
        <v>1516</v>
      </c>
      <c r="M349" s="23" t="s">
        <v>1501</v>
      </c>
      <c r="N349" s="23">
        <v>2000</v>
      </c>
      <c r="O349" s="23"/>
      <c r="P349" s="23">
        <v>10625</v>
      </c>
      <c r="Q349" s="24"/>
    </row>
    <row r="350" spans="11:17" x14ac:dyDescent="0.3">
      <c r="K350" s="85" t="s">
        <v>1510</v>
      </c>
      <c r="L350" s="23" t="s">
        <v>1516</v>
      </c>
      <c r="M350" s="23" t="s">
        <v>1502</v>
      </c>
      <c r="N350" s="23">
        <v>2000</v>
      </c>
      <c r="O350" s="23"/>
      <c r="P350" s="23">
        <v>5639</v>
      </c>
      <c r="Q350" s="24"/>
    </row>
    <row r="351" spans="11:17" x14ac:dyDescent="0.3">
      <c r="K351" s="85" t="s">
        <v>1510</v>
      </c>
      <c r="L351" s="23" t="s">
        <v>1516</v>
      </c>
      <c r="M351" s="23" t="s">
        <v>1503</v>
      </c>
      <c r="N351" s="23">
        <v>2000</v>
      </c>
      <c r="O351" s="23"/>
      <c r="P351" s="23">
        <v>3935</v>
      </c>
      <c r="Q351" s="24"/>
    </row>
    <row r="352" spans="11:17" x14ac:dyDescent="0.3">
      <c r="K352" s="85" t="s">
        <v>1510</v>
      </c>
      <c r="L352" s="23" t="s">
        <v>1516</v>
      </c>
      <c r="M352" s="23" t="s">
        <v>1504</v>
      </c>
      <c r="N352" s="23">
        <v>2000</v>
      </c>
      <c r="O352" s="23"/>
      <c r="P352" s="23">
        <v>2042</v>
      </c>
      <c r="Q352" s="24"/>
    </row>
    <row r="353" spans="11:17" x14ac:dyDescent="0.3">
      <c r="K353" s="85" t="s">
        <v>1510</v>
      </c>
      <c r="L353" s="23" t="s">
        <v>1516</v>
      </c>
      <c r="M353" s="23" t="s">
        <v>1505</v>
      </c>
      <c r="N353" s="23">
        <v>2000</v>
      </c>
      <c r="O353" s="23"/>
      <c r="P353" s="23">
        <v>-338</v>
      </c>
      <c r="Q353" s="24"/>
    </row>
    <row r="354" spans="11:17" x14ac:dyDescent="0.3">
      <c r="K354" s="85" t="s">
        <v>1510</v>
      </c>
      <c r="L354" s="23" t="s">
        <v>1516</v>
      </c>
      <c r="M354" s="23" t="s">
        <v>1506</v>
      </c>
      <c r="N354" s="23">
        <v>2000</v>
      </c>
      <c r="O354" s="23">
        <v>148</v>
      </c>
      <c r="P354" s="23">
        <v>133</v>
      </c>
      <c r="Q354" s="24"/>
    </row>
    <row r="355" spans="11:17" x14ac:dyDescent="0.3">
      <c r="K355" s="85" t="s">
        <v>1510</v>
      </c>
      <c r="L355" s="23" t="s">
        <v>1516</v>
      </c>
      <c r="M355" s="23" t="s">
        <v>1507</v>
      </c>
      <c r="N355" s="23">
        <v>2000</v>
      </c>
      <c r="O355" s="23">
        <v>155</v>
      </c>
      <c r="P355" s="23">
        <v>54</v>
      </c>
      <c r="Q355" s="24"/>
    </row>
    <row r="356" spans="11:17" x14ac:dyDescent="0.3">
      <c r="K356" s="85" t="s">
        <v>1510</v>
      </c>
      <c r="L356" s="23" t="s">
        <v>1516</v>
      </c>
      <c r="M356" s="23" t="s">
        <v>1508</v>
      </c>
      <c r="N356" s="23">
        <v>2000</v>
      </c>
      <c r="O356" s="23">
        <v>187</v>
      </c>
      <c r="P356" s="23">
        <v>132</v>
      </c>
      <c r="Q356" s="24"/>
    </row>
    <row r="357" spans="11:17" x14ac:dyDescent="0.3">
      <c r="K357" s="85" t="s">
        <v>1510</v>
      </c>
      <c r="L357" s="23" t="s">
        <v>1516</v>
      </c>
      <c r="M357" s="23" t="s">
        <v>1509</v>
      </c>
      <c r="N357" s="23">
        <v>2000</v>
      </c>
      <c r="O357" s="23">
        <v>116</v>
      </c>
      <c r="P357" s="23">
        <v>55</v>
      </c>
      <c r="Q357" s="24"/>
    </row>
    <row r="358" spans="11:17" x14ac:dyDescent="0.3">
      <c r="K358" s="85" t="s">
        <v>1500</v>
      </c>
      <c r="L358" s="23" t="s">
        <v>1516</v>
      </c>
      <c r="M358" s="23" t="s">
        <v>1501</v>
      </c>
      <c r="N358" s="23">
        <v>1999</v>
      </c>
      <c r="O358" s="23"/>
      <c r="P358" s="23">
        <v>2981</v>
      </c>
      <c r="Q358" s="24"/>
    </row>
    <row r="359" spans="11:17" x14ac:dyDescent="0.3">
      <c r="K359" s="85" t="s">
        <v>1500</v>
      </c>
      <c r="L359" s="23" t="s">
        <v>1516</v>
      </c>
      <c r="M359" s="23" t="s">
        <v>1502</v>
      </c>
      <c r="N359" s="23">
        <v>1999</v>
      </c>
      <c r="O359" s="23"/>
      <c r="P359" s="23">
        <v>1885</v>
      </c>
      <c r="Q359" s="24"/>
    </row>
    <row r="360" spans="11:17" x14ac:dyDescent="0.3">
      <c r="K360" s="85" t="s">
        <v>1500</v>
      </c>
      <c r="L360" s="23" t="s">
        <v>1516</v>
      </c>
      <c r="M360" s="23" t="s">
        <v>1503</v>
      </c>
      <c r="N360" s="23">
        <v>1999</v>
      </c>
      <c r="O360" s="23"/>
      <c r="P360" s="23">
        <v>1204</v>
      </c>
      <c r="Q360" s="24"/>
    </row>
    <row r="361" spans="11:17" x14ac:dyDescent="0.3">
      <c r="K361" s="85" t="s">
        <v>1500</v>
      </c>
      <c r="L361" s="23" t="s">
        <v>1516</v>
      </c>
      <c r="M361" s="23" t="s">
        <v>1504</v>
      </c>
      <c r="N361" s="23">
        <v>1999</v>
      </c>
      <c r="O361" s="23"/>
      <c r="P361" s="23">
        <v>575</v>
      </c>
      <c r="Q361" s="24"/>
    </row>
    <row r="362" spans="11:17" x14ac:dyDescent="0.3">
      <c r="K362" s="85" t="s">
        <v>1500</v>
      </c>
      <c r="L362" s="23" t="s">
        <v>1516</v>
      </c>
      <c r="M362" s="23" t="s">
        <v>1505</v>
      </c>
      <c r="N362" s="23">
        <v>1999</v>
      </c>
      <c r="O362" s="23"/>
      <c r="P362" s="23">
        <v>106</v>
      </c>
      <c r="Q362" s="24"/>
    </row>
    <row r="363" spans="11:17" x14ac:dyDescent="0.3">
      <c r="K363" s="85" t="s">
        <v>1500</v>
      </c>
      <c r="L363" s="23" t="s">
        <v>1516</v>
      </c>
      <c r="M363" s="23" t="s">
        <v>1506</v>
      </c>
      <c r="N363" s="23">
        <v>1999</v>
      </c>
      <c r="O363" s="23">
        <v>205</v>
      </c>
      <c r="P363" s="23">
        <v>260</v>
      </c>
      <c r="Q363" s="24"/>
    </row>
    <row r="364" spans="11:17" x14ac:dyDescent="0.3">
      <c r="K364" s="85" t="s">
        <v>1500</v>
      </c>
      <c r="L364" s="23" t="s">
        <v>1516</v>
      </c>
      <c r="M364" s="23" t="s">
        <v>1507</v>
      </c>
      <c r="N364" s="23">
        <v>1999</v>
      </c>
      <c r="O364" s="23">
        <v>212</v>
      </c>
      <c r="P364" s="23">
        <v>210</v>
      </c>
      <c r="Q364" s="24"/>
    </row>
    <row r="365" spans="11:17" x14ac:dyDescent="0.3">
      <c r="K365" s="85" t="s">
        <v>1500</v>
      </c>
      <c r="L365" s="23" t="s">
        <v>1516</v>
      </c>
      <c r="M365" s="23" t="s">
        <v>1508</v>
      </c>
      <c r="N365" s="23">
        <v>1999</v>
      </c>
      <c r="O365" s="23">
        <v>244</v>
      </c>
      <c r="P365" s="23">
        <v>791</v>
      </c>
      <c r="Q365" s="24"/>
    </row>
    <row r="366" spans="11:17" x14ac:dyDescent="0.3">
      <c r="K366" s="85" t="s">
        <v>1500</v>
      </c>
      <c r="L366" s="23" t="s">
        <v>1516</v>
      </c>
      <c r="M366" s="23" t="s">
        <v>1509</v>
      </c>
      <c r="N366" s="23">
        <v>1999</v>
      </c>
      <c r="O366" s="23">
        <v>173</v>
      </c>
      <c r="P366" s="23">
        <v>-321</v>
      </c>
      <c r="Q366" s="24"/>
    </row>
    <row r="367" spans="11:17" x14ac:dyDescent="0.3">
      <c r="K367" s="85" t="s">
        <v>1510</v>
      </c>
      <c r="L367" s="23" t="s">
        <v>1516</v>
      </c>
      <c r="M367" s="23" t="s">
        <v>1501</v>
      </c>
      <c r="N367" s="23">
        <v>1999</v>
      </c>
      <c r="O367" s="23"/>
      <c r="P367" s="23">
        <v>6238</v>
      </c>
      <c r="Q367" s="24"/>
    </row>
    <row r="368" spans="11:17" x14ac:dyDescent="0.3">
      <c r="K368" s="85" t="s">
        <v>1510</v>
      </c>
      <c r="L368" s="23" t="s">
        <v>1516</v>
      </c>
      <c r="M368" s="23" t="s">
        <v>1502</v>
      </c>
      <c r="N368" s="23">
        <v>1999</v>
      </c>
      <c r="O368" s="23"/>
      <c r="P368" s="23">
        <v>3519</v>
      </c>
      <c r="Q368" s="24"/>
    </row>
    <row r="369" spans="11:17" x14ac:dyDescent="0.3">
      <c r="K369" s="85" t="s">
        <v>1510</v>
      </c>
      <c r="L369" s="23" t="s">
        <v>1516</v>
      </c>
      <c r="M369" s="23" t="s">
        <v>1503</v>
      </c>
      <c r="N369" s="23">
        <v>1999</v>
      </c>
      <c r="O369" s="23"/>
      <c r="P369" s="23">
        <v>2360</v>
      </c>
      <c r="Q369" s="24"/>
    </row>
    <row r="370" spans="11:17" x14ac:dyDescent="0.3">
      <c r="K370" s="85" t="s">
        <v>1510</v>
      </c>
      <c r="L370" s="23" t="s">
        <v>1516</v>
      </c>
      <c r="M370" s="23" t="s">
        <v>1504</v>
      </c>
      <c r="N370" s="23">
        <v>1999</v>
      </c>
      <c r="O370" s="23"/>
      <c r="P370" s="23">
        <v>1262</v>
      </c>
      <c r="Q370" s="24"/>
    </row>
    <row r="371" spans="11:17" x14ac:dyDescent="0.3">
      <c r="K371" s="85" t="s">
        <v>1510</v>
      </c>
      <c r="L371" s="23" t="s">
        <v>1516</v>
      </c>
      <c r="M371" s="23" t="s">
        <v>1505</v>
      </c>
      <c r="N371" s="23">
        <v>1999</v>
      </c>
      <c r="O371" s="23"/>
      <c r="P371" s="23">
        <v>-103</v>
      </c>
      <c r="Q371" s="24"/>
    </row>
    <row r="372" spans="11:17" x14ac:dyDescent="0.3">
      <c r="K372" s="85" t="s">
        <v>1510</v>
      </c>
      <c r="L372" s="23" t="s">
        <v>1516</v>
      </c>
      <c r="M372" s="23" t="s">
        <v>1506</v>
      </c>
      <c r="N372" s="23">
        <v>1999</v>
      </c>
      <c r="O372" s="23">
        <v>206</v>
      </c>
      <c r="P372" s="23">
        <v>189</v>
      </c>
      <c r="Q372" s="24"/>
    </row>
    <row r="373" spans="11:17" x14ac:dyDescent="0.3">
      <c r="K373" s="85" t="s">
        <v>1510</v>
      </c>
      <c r="L373" s="23" t="s">
        <v>1516</v>
      </c>
      <c r="M373" s="23" t="s">
        <v>1507</v>
      </c>
      <c r="N373" s="23">
        <v>1999</v>
      </c>
      <c r="O373" s="23">
        <v>213</v>
      </c>
      <c r="P373" s="23">
        <v>96</v>
      </c>
      <c r="Q373" s="24"/>
    </row>
    <row r="374" spans="11:17" x14ac:dyDescent="0.3">
      <c r="K374" s="85" t="s">
        <v>1510</v>
      </c>
      <c r="L374" s="23" t="s">
        <v>1516</v>
      </c>
      <c r="M374" s="23" t="s">
        <v>1508</v>
      </c>
      <c r="N374" s="23">
        <v>1999</v>
      </c>
      <c r="O374" s="23">
        <v>245</v>
      </c>
      <c r="P374" s="23">
        <v>265</v>
      </c>
      <c r="Q374" s="24"/>
    </row>
    <row r="375" spans="11:17" x14ac:dyDescent="0.3">
      <c r="K375" s="85" t="s">
        <v>1510</v>
      </c>
      <c r="L375" s="23" t="s">
        <v>1516</v>
      </c>
      <c r="M375" s="23" t="s">
        <v>1509</v>
      </c>
      <c r="N375" s="23">
        <v>1999</v>
      </c>
      <c r="O375" s="23">
        <v>174</v>
      </c>
      <c r="P375" s="23">
        <v>20</v>
      </c>
      <c r="Q375" s="24"/>
    </row>
    <row r="376" spans="11:17" x14ac:dyDescent="0.3">
      <c r="K376" s="85" t="s">
        <v>1500</v>
      </c>
      <c r="L376" s="23" t="s">
        <v>1516</v>
      </c>
      <c r="M376" s="23" t="s">
        <v>1501</v>
      </c>
      <c r="N376" s="23">
        <v>1998</v>
      </c>
      <c r="O376" s="23"/>
      <c r="P376" s="23">
        <v>3274</v>
      </c>
      <c r="Q376" s="24"/>
    </row>
    <row r="377" spans="11:17" x14ac:dyDescent="0.3">
      <c r="K377" s="85" t="s">
        <v>1500</v>
      </c>
      <c r="L377" s="23" t="s">
        <v>1516</v>
      </c>
      <c r="M377" s="23" t="s">
        <v>1502</v>
      </c>
      <c r="N377" s="23">
        <v>1998</v>
      </c>
      <c r="O377" s="23"/>
      <c r="P377" s="23">
        <v>2859</v>
      </c>
      <c r="Q377" s="24"/>
    </row>
    <row r="378" spans="11:17" x14ac:dyDescent="0.3">
      <c r="K378" s="85" t="s">
        <v>1500</v>
      </c>
      <c r="L378" s="23" t="s">
        <v>1516</v>
      </c>
      <c r="M378" s="23" t="s">
        <v>1503</v>
      </c>
      <c r="N378" s="23">
        <v>1998</v>
      </c>
      <c r="O378" s="23"/>
      <c r="P378" s="23">
        <v>1492</v>
      </c>
      <c r="Q378" s="24"/>
    </row>
    <row r="379" spans="11:17" x14ac:dyDescent="0.3">
      <c r="K379" s="85" t="s">
        <v>1500</v>
      </c>
      <c r="L379" s="23" t="s">
        <v>1516</v>
      </c>
      <c r="M379" s="23" t="s">
        <v>1504</v>
      </c>
      <c r="N379" s="23">
        <v>1998</v>
      </c>
      <c r="O379" s="23"/>
      <c r="P379" s="23">
        <v>593</v>
      </c>
      <c r="Q379" s="24"/>
    </row>
    <row r="380" spans="11:17" x14ac:dyDescent="0.3">
      <c r="K380" s="85" t="s">
        <v>1500</v>
      </c>
      <c r="L380" s="23" t="s">
        <v>1516</v>
      </c>
      <c r="M380" s="23" t="s">
        <v>1505</v>
      </c>
      <c r="N380" s="23">
        <v>1998</v>
      </c>
      <c r="O380" s="23"/>
      <c r="P380" s="23">
        <v>774</v>
      </c>
      <c r="Q380" s="24"/>
    </row>
    <row r="381" spans="11:17" x14ac:dyDescent="0.3">
      <c r="K381" s="85" t="s">
        <v>1500</v>
      </c>
      <c r="L381" s="23" t="s">
        <v>1516</v>
      </c>
      <c r="M381" s="23" t="s">
        <v>1506</v>
      </c>
      <c r="N381" s="23">
        <v>1998</v>
      </c>
      <c r="O381" s="23">
        <v>263</v>
      </c>
      <c r="P381" s="23">
        <v>206</v>
      </c>
      <c r="Q381" s="24"/>
    </row>
    <row r="382" spans="11:17" x14ac:dyDescent="0.3">
      <c r="K382" s="85" t="s">
        <v>1500</v>
      </c>
      <c r="L382" s="23" t="s">
        <v>1516</v>
      </c>
      <c r="M382" s="23" t="s">
        <v>1507</v>
      </c>
      <c r="N382" s="23">
        <v>1998</v>
      </c>
      <c r="O382" s="23">
        <v>270</v>
      </c>
      <c r="P382" s="23">
        <v>100</v>
      </c>
      <c r="Q382" s="24"/>
    </row>
    <row r="383" spans="11:17" x14ac:dyDescent="0.3">
      <c r="K383" s="85" t="s">
        <v>1500</v>
      </c>
      <c r="L383" s="23" t="s">
        <v>1516</v>
      </c>
      <c r="M383" s="23" t="s">
        <v>1508</v>
      </c>
      <c r="N383" s="23">
        <v>1998</v>
      </c>
      <c r="O383" s="23">
        <v>302</v>
      </c>
      <c r="P383" s="23">
        <v>449</v>
      </c>
      <c r="Q383" s="24"/>
    </row>
    <row r="384" spans="11:17" x14ac:dyDescent="0.3">
      <c r="K384" s="85" t="s">
        <v>1500</v>
      </c>
      <c r="L384" s="23" t="s">
        <v>1516</v>
      </c>
      <c r="M384" s="23" t="s">
        <v>1509</v>
      </c>
      <c r="N384" s="23">
        <v>1998</v>
      </c>
      <c r="O384" s="23">
        <v>231</v>
      </c>
      <c r="P384" s="23">
        <v>-143</v>
      </c>
      <c r="Q384" s="24"/>
    </row>
    <row r="385" spans="11:17" x14ac:dyDescent="0.3">
      <c r="K385" s="85" t="s">
        <v>1510</v>
      </c>
      <c r="L385" s="23" t="s">
        <v>1516</v>
      </c>
      <c r="M385" s="23" t="s">
        <v>1501</v>
      </c>
      <c r="N385" s="23">
        <v>1998</v>
      </c>
      <c r="O385" s="23"/>
      <c r="P385" s="23">
        <v>2158</v>
      </c>
      <c r="Q385" s="24"/>
    </row>
    <row r="386" spans="11:17" x14ac:dyDescent="0.3">
      <c r="K386" s="85" t="s">
        <v>1510</v>
      </c>
      <c r="L386" s="23" t="s">
        <v>1516</v>
      </c>
      <c r="M386" s="23" t="s">
        <v>1502</v>
      </c>
      <c r="N386" s="23">
        <v>1998</v>
      </c>
      <c r="O386" s="23"/>
      <c r="P386" s="23">
        <v>949</v>
      </c>
      <c r="Q386" s="24"/>
    </row>
    <row r="387" spans="11:17" x14ac:dyDescent="0.3">
      <c r="K387" s="85" t="s">
        <v>1510</v>
      </c>
      <c r="L387" s="23" t="s">
        <v>1516</v>
      </c>
      <c r="M387" s="23" t="s">
        <v>1503</v>
      </c>
      <c r="N387" s="23">
        <v>1998</v>
      </c>
      <c r="O387" s="23"/>
      <c r="P387" s="23">
        <v>208</v>
      </c>
      <c r="Q387" s="24"/>
    </row>
    <row r="388" spans="11:17" x14ac:dyDescent="0.3">
      <c r="K388" s="85" t="s">
        <v>1510</v>
      </c>
      <c r="L388" s="23" t="s">
        <v>1516</v>
      </c>
      <c r="M388" s="23" t="s">
        <v>1504</v>
      </c>
      <c r="N388" s="23">
        <v>1998</v>
      </c>
      <c r="O388" s="23"/>
      <c r="P388" s="23">
        <v>67</v>
      </c>
      <c r="Q388" s="24"/>
    </row>
    <row r="389" spans="11:17" x14ac:dyDescent="0.3">
      <c r="K389" s="85" t="s">
        <v>1510</v>
      </c>
      <c r="L389" s="23" t="s">
        <v>1516</v>
      </c>
      <c r="M389" s="23" t="s">
        <v>1505</v>
      </c>
      <c r="N389" s="23">
        <v>1998</v>
      </c>
      <c r="O389" s="23"/>
      <c r="P389" s="23">
        <v>674</v>
      </c>
      <c r="Q389" s="24"/>
    </row>
    <row r="390" spans="11:17" x14ac:dyDescent="0.3">
      <c r="K390" s="85" t="s">
        <v>1510</v>
      </c>
      <c r="L390" s="23" t="s">
        <v>1516</v>
      </c>
      <c r="M390" s="23" t="s">
        <v>1506</v>
      </c>
      <c r="N390" s="23">
        <v>1998</v>
      </c>
      <c r="O390" s="23">
        <v>264</v>
      </c>
      <c r="P390" s="23">
        <v>373</v>
      </c>
      <c r="Q390" s="24"/>
    </row>
    <row r="391" spans="11:17" x14ac:dyDescent="0.3">
      <c r="K391" s="85" t="s">
        <v>1510</v>
      </c>
      <c r="L391" s="23" t="s">
        <v>1516</v>
      </c>
      <c r="M391" s="23" t="s">
        <v>1507</v>
      </c>
      <c r="N391" s="23">
        <v>1998</v>
      </c>
      <c r="O391" s="23">
        <v>271</v>
      </c>
      <c r="P391" s="23">
        <v>521</v>
      </c>
      <c r="Q391" s="24"/>
    </row>
    <row r="392" spans="11:17" x14ac:dyDescent="0.3">
      <c r="K392" s="85" t="s">
        <v>1510</v>
      </c>
      <c r="L392" s="23" t="s">
        <v>1516</v>
      </c>
      <c r="M392" s="23" t="s">
        <v>1508</v>
      </c>
      <c r="N392" s="23">
        <v>1998</v>
      </c>
      <c r="O392" s="23">
        <v>303</v>
      </c>
      <c r="P392" s="23">
        <v>122</v>
      </c>
      <c r="Q392" s="24"/>
    </row>
    <row r="393" spans="11:17" x14ac:dyDescent="0.3">
      <c r="K393" s="85" t="s">
        <v>1510</v>
      </c>
      <c r="L393" s="23" t="s">
        <v>1516</v>
      </c>
      <c r="M393" s="23" t="s">
        <v>1509</v>
      </c>
      <c r="N393" s="23">
        <v>1998</v>
      </c>
      <c r="O393" s="23">
        <v>232</v>
      </c>
      <c r="P393" s="23">
        <v>772</v>
      </c>
      <c r="Q393" s="24"/>
    </row>
    <row r="394" spans="11:17" x14ac:dyDescent="0.3">
      <c r="K394" s="85" t="s">
        <v>1500</v>
      </c>
      <c r="L394" s="23" t="s">
        <v>1517</v>
      </c>
      <c r="M394" s="23" t="s">
        <v>1501</v>
      </c>
      <c r="N394" s="23">
        <v>2000</v>
      </c>
      <c r="O394" s="23"/>
      <c r="P394" s="23">
        <v>5174</v>
      </c>
      <c r="Q394" s="24"/>
    </row>
    <row r="395" spans="11:17" x14ac:dyDescent="0.3">
      <c r="K395" s="85" t="s">
        <v>1500</v>
      </c>
      <c r="L395" s="23" t="s">
        <v>1517</v>
      </c>
      <c r="M395" s="23" t="s">
        <v>1502</v>
      </c>
      <c r="N395" s="23">
        <v>2000</v>
      </c>
      <c r="O395" s="23"/>
      <c r="P395" s="23">
        <v>3144</v>
      </c>
      <c r="Q395" s="24"/>
    </row>
    <row r="396" spans="11:17" x14ac:dyDescent="0.3">
      <c r="K396" s="85" t="s">
        <v>1500</v>
      </c>
      <c r="L396" s="23" t="s">
        <v>1517</v>
      </c>
      <c r="M396" s="23" t="s">
        <v>1503</v>
      </c>
      <c r="N396" s="23">
        <v>2000</v>
      </c>
      <c r="O396" s="23"/>
      <c r="P396" s="23">
        <v>2216</v>
      </c>
      <c r="Q396" s="24"/>
    </row>
    <row r="397" spans="11:17" x14ac:dyDescent="0.3">
      <c r="K397" s="85" t="s">
        <v>1500</v>
      </c>
      <c r="L397" s="23" t="s">
        <v>1517</v>
      </c>
      <c r="M397" s="23" t="s">
        <v>1504</v>
      </c>
      <c r="N397" s="23">
        <v>2000</v>
      </c>
      <c r="O397" s="23"/>
      <c r="P397" s="23">
        <v>1705</v>
      </c>
      <c r="Q397" s="24"/>
    </row>
    <row r="398" spans="11:17" x14ac:dyDescent="0.3">
      <c r="K398" s="85" t="s">
        <v>1500</v>
      </c>
      <c r="L398" s="23" t="s">
        <v>1517</v>
      </c>
      <c r="M398" s="23" t="s">
        <v>1505</v>
      </c>
      <c r="N398" s="23">
        <v>2000</v>
      </c>
      <c r="O398" s="23"/>
      <c r="P398" s="23">
        <v>-777</v>
      </c>
      <c r="Q398" s="24"/>
    </row>
    <row r="399" spans="11:17" x14ac:dyDescent="0.3">
      <c r="K399" s="85" t="s">
        <v>1500</v>
      </c>
      <c r="L399" s="23" t="s">
        <v>1517</v>
      </c>
      <c r="M399" s="23" t="s">
        <v>1506</v>
      </c>
      <c r="N399" s="23">
        <v>2000</v>
      </c>
      <c r="O399" s="23">
        <v>129</v>
      </c>
      <c r="P399" s="23">
        <v>86</v>
      </c>
      <c r="Q399" s="24"/>
    </row>
    <row r="400" spans="11:17" x14ac:dyDescent="0.3">
      <c r="K400" s="85" t="s">
        <v>1500</v>
      </c>
      <c r="L400" s="23" t="s">
        <v>1517</v>
      </c>
      <c r="M400" s="23" t="s">
        <v>1507</v>
      </c>
      <c r="N400" s="23">
        <v>2000</v>
      </c>
      <c r="O400" s="23">
        <v>136</v>
      </c>
      <c r="P400" s="23">
        <v>96</v>
      </c>
      <c r="Q400" s="24"/>
    </row>
    <row r="401" spans="11:17" x14ac:dyDescent="0.3">
      <c r="K401" s="85" t="s">
        <v>1500</v>
      </c>
      <c r="L401" s="23" t="s">
        <v>1517</v>
      </c>
      <c r="M401" s="23" t="s">
        <v>1508</v>
      </c>
      <c r="N401" s="23">
        <v>2000</v>
      </c>
      <c r="O401" s="23">
        <v>168</v>
      </c>
      <c r="P401" s="23">
        <v>134</v>
      </c>
      <c r="Q401" s="24"/>
    </row>
    <row r="402" spans="11:17" x14ac:dyDescent="0.3">
      <c r="K402" s="85" t="s">
        <v>1500</v>
      </c>
      <c r="L402" s="23" t="s">
        <v>1517</v>
      </c>
      <c r="M402" s="23" t="s">
        <v>1509</v>
      </c>
      <c r="N402" s="23">
        <v>2000</v>
      </c>
      <c r="O402" s="23">
        <v>97</v>
      </c>
      <c r="P402" s="23">
        <v>48</v>
      </c>
      <c r="Q402" s="24"/>
    </row>
    <row r="403" spans="11:17" x14ac:dyDescent="0.3">
      <c r="K403" s="85" t="s">
        <v>1510</v>
      </c>
      <c r="L403" s="23" t="s">
        <v>1517</v>
      </c>
      <c r="M403" s="23" t="s">
        <v>1501</v>
      </c>
      <c r="N403" s="23">
        <v>2000</v>
      </c>
      <c r="O403" s="23"/>
      <c r="P403" s="23">
        <v>7142</v>
      </c>
      <c r="Q403" s="24"/>
    </row>
    <row r="404" spans="11:17" x14ac:dyDescent="0.3">
      <c r="K404" s="85" t="s">
        <v>1510</v>
      </c>
      <c r="L404" s="23" t="s">
        <v>1517</v>
      </c>
      <c r="M404" s="23" t="s">
        <v>1502</v>
      </c>
      <c r="N404" s="23">
        <v>2000</v>
      </c>
      <c r="O404" s="23"/>
      <c r="P404" s="23">
        <v>3694</v>
      </c>
      <c r="Q404" s="24"/>
    </row>
    <row r="405" spans="11:17" x14ac:dyDescent="0.3">
      <c r="K405" s="85" t="s">
        <v>1510</v>
      </c>
      <c r="L405" s="23" t="s">
        <v>1517</v>
      </c>
      <c r="M405" s="23" t="s">
        <v>1503</v>
      </c>
      <c r="N405" s="23">
        <v>2000</v>
      </c>
      <c r="O405" s="23"/>
      <c r="P405" s="23">
        <v>1042</v>
      </c>
      <c r="Q405" s="24"/>
    </row>
    <row r="406" spans="11:17" x14ac:dyDescent="0.3">
      <c r="K406" s="85" t="s">
        <v>1510</v>
      </c>
      <c r="L406" s="23" t="s">
        <v>1517</v>
      </c>
      <c r="M406" s="23" t="s">
        <v>1504</v>
      </c>
      <c r="N406" s="23">
        <v>2000</v>
      </c>
      <c r="O406" s="23"/>
      <c r="P406" s="23">
        <v>849</v>
      </c>
      <c r="Q406" s="24"/>
    </row>
    <row r="407" spans="11:17" x14ac:dyDescent="0.3">
      <c r="K407" s="85" t="s">
        <v>1510</v>
      </c>
      <c r="L407" s="23" t="s">
        <v>1517</v>
      </c>
      <c r="M407" s="23" t="s">
        <v>1505</v>
      </c>
      <c r="N407" s="23">
        <v>2000</v>
      </c>
      <c r="O407" s="23"/>
      <c r="P407" s="23">
        <v>1803</v>
      </c>
      <c r="Q407" s="24"/>
    </row>
    <row r="408" spans="11:17" x14ac:dyDescent="0.3">
      <c r="K408" s="85" t="s">
        <v>1510</v>
      </c>
      <c r="L408" s="23" t="s">
        <v>1517</v>
      </c>
      <c r="M408" s="23" t="s">
        <v>1506</v>
      </c>
      <c r="N408" s="23">
        <v>2000</v>
      </c>
      <c r="O408" s="23">
        <v>130</v>
      </c>
      <c r="P408" s="23">
        <v>194</v>
      </c>
      <c r="Q408" s="24"/>
    </row>
    <row r="409" spans="11:17" x14ac:dyDescent="0.3">
      <c r="K409" s="85" t="s">
        <v>1510</v>
      </c>
      <c r="L409" s="23" t="s">
        <v>1517</v>
      </c>
      <c r="M409" s="23" t="s">
        <v>1507</v>
      </c>
      <c r="N409" s="23">
        <v>2000</v>
      </c>
      <c r="O409" s="23">
        <v>137</v>
      </c>
      <c r="P409" s="23">
        <v>88</v>
      </c>
      <c r="Q409" s="24"/>
    </row>
    <row r="410" spans="11:17" x14ac:dyDescent="0.3">
      <c r="K410" s="85" t="s">
        <v>1510</v>
      </c>
      <c r="L410" s="23" t="s">
        <v>1517</v>
      </c>
      <c r="M410" s="23" t="s">
        <v>1508</v>
      </c>
      <c r="N410" s="23">
        <v>2000</v>
      </c>
      <c r="O410" s="23">
        <v>169</v>
      </c>
      <c r="P410" s="23">
        <v>127</v>
      </c>
      <c r="Q410" s="24"/>
    </row>
    <row r="411" spans="11:17" x14ac:dyDescent="0.3">
      <c r="K411" s="85" t="s">
        <v>1510</v>
      </c>
      <c r="L411" s="23" t="s">
        <v>1517</v>
      </c>
      <c r="M411" s="23" t="s">
        <v>1509</v>
      </c>
      <c r="N411" s="23">
        <v>2000</v>
      </c>
      <c r="O411" s="23">
        <v>98</v>
      </c>
      <c r="P411" s="23">
        <v>155</v>
      </c>
      <c r="Q411" s="24"/>
    </row>
    <row r="412" spans="11:17" x14ac:dyDescent="0.3">
      <c r="K412" s="85" t="s">
        <v>1500</v>
      </c>
      <c r="L412" s="23" t="s">
        <v>1517</v>
      </c>
      <c r="M412" s="23" t="s">
        <v>1501</v>
      </c>
      <c r="N412" s="23">
        <v>1999</v>
      </c>
      <c r="O412" s="23"/>
      <c r="P412" s="23">
        <v>3519</v>
      </c>
      <c r="Q412" s="24"/>
    </row>
    <row r="413" spans="11:17" x14ac:dyDescent="0.3">
      <c r="K413" s="85" t="s">
        <v>1500</v>
      </c>
      <c r="L413" s="23" t="s">
        <v>1517</v>
      </c>
      <c r="M413" s="23" t="s">
        <v>1502</v>
      </c>
      <c r="N413" s="23">
        <v>1999</v>
      </c>
      <c r="O413" s="23"/>
      <c r="P413" s="23">
        <v>2419</v>
      </c>
      <c r="Q413" s="24"/>
    </row>
    <row r="414" spans="11:17" x14ac:dyDescent="0.3">
      <c r="K414" s="85" t="s">
        <v>1500</v>
      </c>
      <c r="L414" s="23" t="s">
        <v>1517</v>
      </c>
      <c r="M414" s="23" t="s">
        <v>1503</v>
      </c>
      <c r="N414" s="23">
        <v>1999</v>
      </c>
      <c r="O414" s="23"/>
      <c r="P414" s="23">
        <v>1473</v>
      </c>
      <c r="Q414" s="24"/>
    </row>
    <row r="415" spans="11:17" x14ac:dyDescent="0.3">
      <c r="K415" s="85" t="s">
        <v>1500</v>
      </c>
      <c r="L415" s="23" t="s">
        <v>1517</v>
      </c>
      <c r="M415" s="23" t="s">
        <v>1504</v>
      </c>
      <c r="N415" s="23">
        <v>1999</v>
      </c>
      <c r="O415" s="23"/>
      <c r="P415" s="23">
        <v>572</v>
      </c>
      <c r="Q415" s="24"/>
    </row>
    <row r="416" spans="11:17" x14ac:dyDescent="0.3">
      <c r="K416" s="85" t="s">
        <v>1500</v>
      </c>
      <c r="L416" s="23" t="s">
        <v>1517</v>
      </c>
      <c r="M416" s="23" t="s">
        <v>1505</v>
      </c>
      <c r="N416" s="23">
        <v>1999</v>
      </c>
      <c r="O416" s="23"/>
      <c r="P416" s="23">
        <v>374</v>
      </c>
      <c r="Q416" s="24"/>
    </row>
    <row r="417" spans="11:17" x14ac:dyDescent="0.3">
      <c r="K417" s="85" t="s">
        <v>1500</v>
      </c>
      <c r="L417" s="23" t="s">
        <v>1517</v>
      </c>
      <c r="M417" s="23" t="s">
        <v>1506</v>
      </c>
      <c r="N417" s="23">
        <v>1999</v>
      </c>
      <c r="O417" s="23">
        <v>187</v>
      </c>
      <c r="P417" s="23">
        <v>212</v>
      </c>
      <c r="Q417" s="24"/>
    </row>
    <row r="418" spans="11:17" x14ac:dyDescent="0.3">
      <c r="K418" s="85" t="s">
        <v>1500</v>
      </c>
      <c r="L418" s="23" t="s">
        <v>1517</v>
      </c>
      <c r="M418" s="23" t="s">
        <v>1507</v>
      </c>
      <c r="N418" s="23">
        <v>1999</v>
      </c>
      <c r="O418" s="23">
        <v>194</v>
      </c>
      <c r="P418" s="23">
        <v>324</v>
      </c>
      <c r="Q418" s="24"/>
    </row>
    <row r="419" spans="11:17" x14ac:dyDescent="0.3">
      <c r="K419" s="85" t="s">
        <v>1500</v>
      </c>
      <c r="L419" s="23" t="s">
        <v>1517</v>
      </c>
      <c r="M419" s="23" t="s">
        <v>1508</v>
      </c>
      <c r="N419" s="23">
        <v>1999</v>
      </c>
      <c r="O419" s="23">
        <v>226</v>
      </c>
      <c r="P419" s="23">
        <v>86</v>
      </c>
      <c r="Q419" s="24"/>
    </row>
    <row r="420" spans="11:17" x14ac:dyDescent="0.3">
      <c r="K420" s="85" t="s">
        <v>1500</v>
      </c>
      <c r="L420" s="23" t="s">
        <v>1517</v>
      </c>
      <c r="M420" s="23" t="s">
        <v>1509</v>
      </c>
      <c r="N420" s="23">
        <v>1999</v>
      </c>
      <c r="O420" s="23">
        <v>155</v>
      </c>
      <c r="P420" s="23">
        <v>450</v>
      </c>
      <c r="Q420" s="24"/>
    </row>
    <row r="421" spans="11:17" x14ac:dyDescent="0.3">
      <c r="K421" s="85" t="s">
        <v>1510</v>
      </c>
      <c r="L421" s="23" t="s">
        <v>1517</v>
      </c>
      <c r="M421" s="23" t="s">
        <v>1501</v>
      </c>
      <c r="N421" s="23">
        <v>1999</v>
      </c>
      <c r="O421" s="23"/>
      <c r="P421" s="23">
        <v>7724</v>
      </c>
      <c r="Q421" s="24"/>
    </row>
    <row r="422" spans="11:17" x14ac:dyDescent="0.3">
      <c r="K422" s="85" t="s">
        <v>1510</v>
      </c>
      <c r="L422" s="23" t="s">
        <v>1517</v>
      </c>
      <c r="M422" s="23" t="s">
        <v>1502</v>
      </c>
      <c r="N422" s="23">
        <v>1999</v>
      </c>
      <c r="O422" s="23"/>
      <c r="P422" s="23">
        <v>6348</v>
      </c>
      <c r="Q422" s="24"/>
    </row>
    <row r="423" spans="11:17" x14ac:dyDescent="0.3">
      <c r="K423" s="85" t="s">
        <v>1510</v>
      </c>
      <c r="L423" s="23" t="s">
        <v>1517</v>
      </c>
      <c r="M423" s="23" t="s">
        <v>1503</v>
      </c>
      <c r="N423" s="23">
        <v>1999</v>
      </c>
      <c r="O423" s="23"/>
      <c r="P423" s="23">
        <v>4500</v>
      </c>
      <c r="Q423" s="24"/>
    </row>
    <row r="424" spans="11:17" x14ac:dyDescent="0.3">
      <c r="K424" s="85" t="s">
        <v>1510</v>
      </c>
      <c r="L424" s="23" t="s">
        <v>1517</v>
      </c>
      <c r="M424" s="23" t="s">
        <v>1504</v>
      </c>
      <c r="N424" s="23">
        <v>1999</v>
      </c>
      <c r="O424" s="23"/>
      <c r="P424" s="23">
        <v>2939</v>
      </c>
      <c r="Q424" s="24"/>
    </row>
    <row r="425" spans="11:17" x14ac:dyDescent="0.3">
      <c r="K425" s="85" t="s">
        <v>1510</v>
      </c>
      <c r="L425" s="23" t="s">
        <v>1517</v>
      </c>
      <c r="M425" s="23" t="s">
        <v>1505</v>
      </c>
      <c r="N425" s="23">
        <v>1999</v>
      </c>
      <c r="O425" s="23"/>
      <c r="P425" s="23">
        <v>-1091</v>
      </c>
      <c r="Q425" s="24"/>
    </row>
    <row r="426" spans="11:17" x14ac:dyDescent="0.3">
      <c r="K426" s="85" t="s">
        <v>1510</v>
      </c>
      <c r="L426" s="23" t="s">
        <v>1517</v>
      </c>
      <c r="M426" s="23" t="s">
        <v>1506</v>
      </c>
      <c r="N426" s="23">
        <v>1999</v>
      </c>
      <c r="O426" s="23">
        <v>188</v>
      </c>
      <c r="P426" s="23">
        <v>197</v>
      </c>
      <c r="Q426" s="24"/>
    </row>
    <row r="427" spans="11:17" x14ac:dyDescent="0.3">
      <c r="K427" s="85" t="s">
        <v>1510</v>
      </c>
      <c r="L427" s="23" t="s">
        <v>1517</v>
      </c>
      <c r="M427" s="23" t="s">
        <v>1507</v>
      </c>
      <c r="N427" s="23">
        <v>1999</v>
      </c>
      <c r="O427" s="23">
        <v>195</v>
      </c>
      <c r="P427" s="23">
        <v>356</v>
      </c>
      <c r="Q427" s="24"/>
    </row>
    <row r="428" spans="11:17" x14ac:dyDescent="0.3">
      <c r="K428" s="85" t="s">
        <v>1510</v>
      </c>
      <c r="L428" s="23" t="s">
        <v>1517</v>
      </c>
      <c r="M428" s="23" t="s">
        <v>1508</v>
      </c>
      <c r="N428" s="23">
        <v>1999</v>
      </c>
      <c r="O428" s="23">
        <v>227</v>
      </c>
      <c r="P428" s="23">
        <v>130</v>
      </c>
      <c r="Q428" s="24"/>
    </row>
    <row r="429" spans="11:17" x14ac:dyDescent="0.3">
      <c r="K429" s="85" t="s">
        <v>1510</v>
      </c>
      <c r="L429" s="23" t="s">
        <v>1517</v>
      </c>
      <c r="M429" s="23" t="s">
        <v>1509</v>
      </c>
      <c r="N429" s="23">
        <v>1999</v>
      </c>
      <c r="O429" s="23">
        <v>156</v>
      </c>
      <c r="P429" s="23">
        <v>423</v>
      </c>
      <c r="Q429" s="24"/>
    </row>
    <row r="430" spans="11:17" x14ac:dyDescent="0.3">
      <c r="K430" s="85" t="s">
        <v>1500</v>
      </c>
      <c r="L430" s="23" t="s">
        <v>1517</v>
      </c>
      <c r="M430" s="23" t="s">
        <v>1501</v>
      </c>
      <c r="N430" s="23">
        <v>1998</v>
      </c>
      <c r="O430" s="23"/>
      <c r="P430" s="23">
        <v>3904</v>
      </c>
      <c r="Q430" s="24"/>
    </row>
    <row r="431" spans="11:17" x14ac:dyDescent="0.3">
      <c r="K431" s="85" t="s">
        <v>1500</v>
      </c>
      <c r="L431" s="23" t="s">
        <v>1517</v>
      </c>
      <c r="M431" s="23" t="s">
        <v>1502</v>
      </c>
      <c r="N431" s="23">
        <v>1998</v>
      </c>
      <c r="O431" s="23"/>
      <c r="P431" s="23">
        <v>2932</v>
      </c>
      <c r="Q431" s="24"/>
    </row>
    <row r="432" spans="11:17" x14ac:dyDescent="0.3">
      <c r="K432" s="85" t="s">
        <v>1500</v>
      </c>
      <c r="L432" s="23" t="s">
        <v>1517</v>
      </c>
      <c r="M432" s="23" t="s">
        <v>1503</v>
      </c>
      <c r="N432" s="23">
        <v>1998</v>
      </c>
      <c r="O432" s="23"/>
      <c r="P432" s="23">
        <v>1905</v>
      </c>
      <c r="Q432" s="24"/>
    </row>
    <row r="433" spans="11:17" x14ac:dyDescent="0.3">
      <c r="K433" s="85" t="s">
        <v>1500</v>
      </c>
      <c r="L433" s="23" t="s">
        <v>1517</v>
      </c>
      <c r="M433" s="23" t="s">
        <v>1504</v>
      </c>
      <c r="N433" s="23">
        <v>1998</v>
      </c>
      <c r="O433" s="23"/>
      <c r="P433" s="23">
        <v>1232</v>
      </c>
      <c r="Q433" s="24"/>
    </row>
    <row r="434" spans="11:17" x14ac:dyDescent="0.3">
      <c r="K434" s="85" t="s">
        <v>1500</v>
      </c>
      <c r="L434" s="23" t="s">
        <v>1517</v>
      </c>
      <c r="M434" s="23" t="s">
        <v>1505</v>
      </c>
      <c r="N434" s="23">
        <v>1998</v>
      </c>
      <c r="O434" s="23"/>
      <c r="P434" s="23">
        <v>-205</v>
      </c>
      <c r="Q434" s="24"/>
    </row>
    <row r="435" spans="11:17" x14ac:dyDescent="0.3">
      <c r="K435" s="85" t="s">
        <v>1500</v>
      </c>
      <c r="L435" s="23" t="s">
        <v>1517</v>
      </c>
      <c r="M435" s="23" t="s">
        <v>1506</v>
      </c>
      <c r="N435" s="23">
        <v>1998</v>
      </c>
      <c r="O435" s="23">
        <v>245</v>
      </c>
      <c r="P435" s="23">
        <v>275</v>
      </c>
      <c r="Q435" s="24"/>
    </row>
    <row r="436" spans="11:17" x14ac:dyDescent="0.3">
      <c r="K436" s="85" t="s">
        <v>1500</v>
      </c>
      <c r="L436" s="23" t="s">
        <v>1517</v>
      </c>
      <c r="M436" s="23" t="s">
        <v>1507</v>
      </c>
      <c r="N436" s="23">
        <v>1998</v>
      </c>
      <c r="O436" s="23">
        <v>252</v>
      </c>
      <c r="P436" s="23">
        <v>116</v>
      </c>
      <c r="Q436" s="24"/>
    </row>
    <row r="437" spans="11:17" x14ac:dyDescent="0.3">
      <c r="K437" s="85" t="s">
        <v>1500</v>
      </c>
      <c r="L437" s="23" t="s">
        <v>1517</v>
      </c>
      <c r="M437" s="23" t="s">
        <v>1508</v>
      </c>
      <c r="N437" s="23">
        <v>1998</v>
      </c>
      <c r="O437" s="23">
        <v>284</v>
      </c>
      <c r="P437" s="23">
        <v>274</v>
      </c>
      <c r="Q437" s="24"/>
    </row>
    <row r="438" spans="11:17" x14ac:dyDescent="0.3">
      <c r="K438" s="85" t="s">
        <v>1500</v>
      </c>
      <c r="L438" s="23" t="s">
        <v>1517</v>
      </c>
      <c r="M438" s="23" t="s">
        <v>1509</v>
      </c>
      <c r="N438" s="23">
        <v>1998</v>
      </c>
      <c r="O438" s="23">
        <v>213</v>
      </c>
      <c r="P438" s="23">
        <v>117</v>
      </c>
      <c r="Q438" s="24"/>
    </row>
    <row r="439" spans="11:17" x14ac:dyDescent="0.3">
      <c r="K439" s="85" t="s">
        <v>1510</v>
      </c>
      <c r="L439" s="23" t="s">
        <v>1517</v>
      </c>
      <c r="M439" s="23" t="s">
        <v>1501</v>
      </c>
      <c r="N439" s="23">
        <v>1998</v>
      </c>
      <c r="O439" s="23"/>
      <c r="P439" s="23">
        <v>4028</v>
      </c>
      <c r="Q439" s="24"/>
    </row>
    <row r="440" spans="11:17" x14ac:dyDescent="0.3">
      <c r="K440" s="85" t="s">
        <v>1510</v>
      </c>
      <c r="L440" s="23" t="s">
        <v>1517</v>
      </c>
      <c r="M440" s="23" t="s">
        <v>1502</v>
      </c>
      <c r="N440" s="23">
        <v>1998</v>
      </c>
      <c r="O440" s="23"/>
      <c r="P440" s="23">
        <v>1370</v>
      </c>
      <c r="Q440" s="24"/>
    </row>
    <row r="441" spans="11:17" x14ac:dyDescent="0.3">
      <c r="K441" s="85" t="s">
        <v>1510</v>
      </c>
      <c r="L441" s="23" t="s">
        <v>1517</v>
      </c>
      <c r="M441" s="23" t="s">
        <v>1503</v>
      </c>
      <c r="N441" s="23">
        <v>1998</v>
      </c>
      <c r="O441" s="23"/>
      <c r="P441" s="23">
        <v>72</v>
      </c>
      <c r="Q441" s="24"/>
    </row>
    <row r="442" spans="11:17" x14ac:dyDescent="0.3">
      <c r="K442" s="85" t="s">
        <v>1510</v>
      </c>
      <c r="L442" s="23" t="s">
        <v>1517</v>
      </c>
      <c r="M442" s="23" t="s">
        <v>1504</v>
      </c>
      <c r="N442" s="23">
        <v>1998</v>
      </c>
      <c r="O442" s="23"/>
      <c r="P442" s="23">
        <v>7</v>
      </c>
      <c r="Q442" s="24"/>
    </row>
    <row r="443" spans="11:17" x14ac:dyDescent="0.3">
      <c r="K443" s="85" t="s">
        <v>1510</v>
      </c>
      <c r="L443" s="23" t="s">
        <v>1517</v>
      </c>
      <c r="M443" s="23" t="s">
        <v>1505</v>
      </c>
      <c r="N443" s="23">
        <v>1998</v>
      </c>
      <c r="O443" s="23"/>
      <c r="P443" s="23">
        <v>1291</v>
      </c>
      <c r="Q443" s="24"/>
    </row>
    <row r="444" spans="11:17" x14ac:dyDescent="0.3">
      <c r="K444" s="85" t="s">
        <v>1510</v>
      </c>
      <c r="L444" s="23" t="s">
        <v>1517</v>
      </c>
      <c r="M444" s="23" t="s">
        <v>1506</v>
      </c>
      <c r="N444" s="23">
        <v>1998</v>
      </c>
      <c r="O444" s="23">
        <v>246</v>
      </c>
      <c r="P444" s="23">
        <v>282</v>
      </c>
      <c r="Q444" s="24"/>
    </row>
    <row r="445" spans="11:17" x14ac:dyDescent="0.3">
      <c r="K445" s="85" t="s">
        <v>1510</v>
      </c>
      <c r="L445" s="23" t="s">
        <v>1517</v>
      </c>
      <c r="M445" s="23" t="s">
        <v>1507</v>
      </c>
      <c r="N445" s="23">
        <v>1998</v>
      </c>
      <c r="O445" s="23">
        <v>253</v>
      </c>
      <c r="P445" s="23">
        <v>196</v>
      </c>
      <c r="Q445" s="24"/>
    </row>
    <row r="446" spans="11:17" x14ac:dyDescent="0.3">
      <c r="K446" s="85" t="s">
        <v>1510</v>
      </c>
      <c r="L446" s="23" t="s">
        <v>1517</v>
      </c>
      <c r="M446" s="23" t="s">
        <v>1508</v>
      </c>
      <c r="N446" s="23">
        <v>1998</v>
      </c>
      <c r="O446" s="23">
        <v>285</v>
      </c>
      <c r="P446" s="23">
        <v>320</v>
      </c>
      <c r="Q446" s="24"/>
    </row>
    <row r="447" spans="11:17" x14ac:dyDescent="0.3">
      <c r="K447" s="85" t="s">
        <v>1510</v>
      </c>
      <c r="L447" s="23" t="s">
        <v>1517</v>
      </c>
      <c r="M447" s="23" t="s">
        <v>1509</v>
      </c>
      <c r="N447" s="23">
        <v>1998</v>
      </c>
      <c r="O447" s="23">
        <v>214</v>
      </c>
      <c r="P447" s="23">
        <v>158</v>
      </c>
      <c r="Q447" s="24"/>
    </row>
    <row r="448" spans="11:17" x14ac:dyDescent="0.3">
      <c r="K448" s="85" t="s">
        <v>1500</v>
      </c>
      <c r="L448" s="23" t="s">
        <v>1518</v>
      </c>
      <c r="M448" s="23" t="s">
        <v>1501</v>
      </c>
      <c r="N448" s="23">
        <v>2000</v>
      </c>
      <c r="O448" s="23"/>
      <c r="P448" s="23">
        <v>5047</v>
      </c>
      <c r="Q448" s="24"/>
    </row>
    <row r="449" spans="11:17" x14ac:dyDescent="0.3">
      <c r="K449" s="85" t="s">
        <v>1500</v>
      </c>
      <c r="L449" s="23" t="s">
        <v>1518</v>
      </c>
      <c r="M449" s="23" t="s">
        <v>1502</v>
      </c>
      <c r="N449" s="23">
        <v>2000</v>
      </c>
      <c r="O449" s="23"/>
      <c r="P449" s="23">
        <v>2936</v>
      </c>
      <c r="Q449" s="24"/>
    </row>
    <row r="450" spans="11:17" x14ac:dyDescent="0.3">
      <c r="K450" s="85" t="s">
        <v>1500</v>
      </c>
      <c r="L450" s="23" t="s">
        <v>1518</v>
      </c>
      <c r="M450" s="23" t="s">
        <v>1503</v>
      </c>
      <c r="N450" s="23">
        <v>2000</v>
      </c>
      <c r="O450" s="23"/>
      <c r="P450" s="23">
        <v>1783</v>
      </c>
      <c r="Q450" s="24"/>
    </row>
    <row r="451" spans="11:17" x14ac:dyDescent="0.3">
      <c r="K451" s="85" t="s">
        <v>1500</v>
      </c>
      <c r="L451" s="23" t="s">
        <v>1518</v>
      </c>
      <c r="M451" s="23" t="s">
        <v>1504</v>
      </c>
      <c r="N451" s="23">
        <v>2000</v>
      </c>
      <c r="O451" s="23"/>
      <c r="P451" s="23">
        <v>654</v>
      </c>
      <c r="Q451" s="24"/>
    </row>
    <row r="452" spans="11:17" x14ac:dyDescent="0.3">
      <c r="K452" s="85" t="s">
        <v>1500</v>
      </c>
      <c r="L452" s="23" t="s">
        <v>1518</v>
      </c>
      <c r="M452" s="23" t="s">
        <v>1505</v>
      </c>
      <c r="N452" s="23">
        <v>2000</v>
      </c>
      <c r="O452" s="23"/>
      <c r="P452" s="23">
        <v>499</v>
      </c>
      <c r="Q452" s="24"/>
    </row>
    <row r="453" spans="11:17" x14ac:dyDescent="0.3">
      <c r="K453" s="85" t="s">
        <v>1500</v>
      </c>
      <c r="L453" s="23" t="s">
        <v>1518</v>
      </c>
      <c r="M453" s="23" t="s">
        <v>1506</v>
      </c>
      <c r="N453" s="23">
        <v>2000</v>
      </c>
      <c r="O453" s="23">
        <v>121</v>
      </c>
      <c r="P453" s="23">
        <v>125</v>
      </c>
      <c r="Q453" s="24"/>
    </row>
    <row r="454" spans="11:17" x14ac:dyDescent="0.3">
      <c r="K454" s="85" t="s">
        <v>1500</v>
      </c>
      <c r="L454" s="23" t="s">
        <v>1518</v>
      </c>
      <c r="M454" s="23" t="s">
        <v>1507</v>
      </c>
      <c r="N454" s="23">
        <v>2000</v>
      </c>
      <c r="O454" s="23">
        <v>128</v>
      </c>
      <c r="P454" s="23">
        <v>110</v>
      </c>
      <c r="Q454" s="24"/>
    </row>
    <row r="455" spans="11:17" x14ac:dyDescent="0.3">
      <c r="K455" s="85" t="s">
        <v>1500</v>
      </c>
      <c r="L455" s="23" t="s">
        <v>1518</v>
      </c>
      <c r="M455" s="23" t="s">
        <v>1508</v>
      </c>
      <c r="N455" s="23">
        <v>2000</v>
      </c>
      <c r="O455" s="23">
        <v>160</v>
      </c>
      <c r="P455" s="23">
        <v>137</v>
      </c>
      <c r="Q455" s="24"/>
    </row>
    <row r="456" spans="11:17" x14ac:dyDescent="0.3">
      <c r="K456" s="85" t="s">
        <v>1500</v>
      </c>
      <c r="L456" s="23" t="s">
        <v>1518</v>
      </c>
      <c r="M456" s="23" t="s">
        <v>1509</v>
      </c>
      <c r="N456" s="23">
        <v>2000</v>
      </c>
      <c r="O456" s="23">
        <v>89</v>
      </c>
      <c r="P456" s="23">
        <v>98</v>
      </c>
      <c r="Q456" s="24"/>
    </row>
    <row r="457" spans="11:17" x14ac:dyDescent="0.3">
      <c r="K457" s="85" t="s">
        <v>1510</v>
      </c>
      <c r="L457" s="23" t="s">
        <v>1518</v>
      </c>
      <c r="M457" s="23" t="s">
        <v>1501</v>
      </c>
      <c r="N457" s="23">
        <v>2000</v>
      </c>
      <c r="O457" s="23"/>
      <c r="P457" s="23">
        <v>6109</v>
      </c>
      <c r="Q457" s="24"/>
    </row>
    <row r="458" spans="11:17" x14ac:dyDescent="0.3">
      <c r="K458" s="85" t="s">
        <v>1510</v>
      </c>
      <c r="L458" s="23" t="s">
        <v>1518</v>
      </c>
      <c r="M458" s="23" t="s">
        <v>1502</v>
      </c>
      <c r="N458" s="23">
        <v>2000</v>
      </c>
      <c r="O458" s="23"/>
      <c r="P458" s="23">
        <v>3419</v>
      </c>
      <c r="Q458" s="24"/>
    </row>
    <row r="459" spans="11:17" x14ac:dyDescent="0.3">
      <c r="K459" s="85" t="s">
        <v>1510</v>
      </c>
      <c r="L459" s="23" t="s">
        <v>1518</v>
      </c>
      <c r="M459" s="23" t="s">
        <v>1503</v>
      </c>
      <c r="N459" s="23">
        <v>2000</v>
      </c>
      <c r="O459" s="23"/>
      <c r="P459" s="23">
        <v>1825</v>
      </c>
      <c r="Q459" s="24"/>
    </row>
    <row r="460" spans="11:17" x14ac:dyDescent="0.3">
      <c r="K460" s="85" t="s">
        <v>1510</v>
      </c>
      <c r="L460" s="23" t="s">
        <v>1518</v>
      </c>
      <c r="M460" s="23" t="s">
        <v>1504</v>
      </c>
      <c r="N460" s="23">
        <v>2000</v>
      </c>
      <c r="O460" s="23"/>
      <c r="P460" s="23">
        <v>788</v>
      </c>
      <c r="Q460" s="24"/>
    </row>
    <row r="461" spans="11:17" x14ac:dyDescent="0.3">
      <c r="K461" s="85" t="s">
        <v>1510</v>
      </c>
      <c r="L461" s="23" t="s">
        <v>1518</v>
      </c>
      <c r="M461" s="23" t="s">
        <v>1505</v>
      </c>
      <c r="N461" s="23">
        <v>2000</v>
      </c>
      <c r="O461" s="23"/>
      <c r="P461" s="23">
        <v>806</v>
      </c>
      <c r="Q461" s="24"/>
    </row>
    <row r="462" spans="11:17" x14ac:dyDescent="0.3">
      <c r="K462" s="85" t="s">
        <v>1510</v>
      </c>
      <c r="L462" s="23" t="s">
        <v>1518</v>
      </c>
      <c r="M462" s="23" t="s">
        <v>1506</v>
      </c>
      <c r="N462" s="23">
        <v>2000</v>
      </c>
      <c r="O462" s="23">
        <v>122</v>
      </c>
      <c r="P462" s="23">
        <v>176</v>
      </c>
      <c r="Q462" s="24"/>
    </row>
    <row r="463" spans="11:17" x14ac:dyDescent="0.3">
      <c r="K463" s="85" t="s">
        <v>1510</v>
      </c>
      <c r="L463" s="23" t="s">
        <v>1518</v>
      </c>
      <c r="M463" s="23" t="s">
        <v>1507</v>
      </c>
      <c r="N463" s="23">
        <v>2000</v>
      </c>
      <c r="O463" s="23">
        <v>129</v>
      </c>
      <c r="P463" s="23">
        <v>57</v>
      </c>
      <c r="Q463" s="24"/>
    </row>
    <row r="464" spans="11:17" x14ac:dyDescent="0.3">
      <c r="K464" s="85" t="s">
        <v>1510</v>
      </c>
      <c r="L464" s="23" t="s">
        <v>1518</v>
      </c>
      <c r="M464" s="23" t="s">
        <v>1508</v>
      </c>
      <c r="N464" s="23">
        <v>2000</v>
      </c>
      <c r="O464" s="23">
        <v>161</v>
      </c>
      <c r="P464" s="23">
        <v>85</v>
      </c>
      <c r="Q464" s="24"/>
    </row>
    <row r="465" spans="11:17" x14ac:dyDescent="0.3">
      <c r="K465" s="85" t="s">
        <v>1510</v>
      </c>
      <c r="L465" s="23" t="s">
        <v>1518</v>
      </c>
      <c r="M465" s="23" t="s">
        <v>1509</v>
      </c>
      <c r="N465" s="23">
        <v>2000</v>
      </c>
      <c r="O465" s="23">
        <v>90</v>
      </c>
      <c r="P465" s="23">
        <v>148</v>
      </c>
      <c r="Q465" s="24"/>
    </row>
    <row r="466" spans="11:17" x14ac:dyDescent="0.3">
      <c r="K466" s="85" t="s">
        <v>1500</v>
      </c>
      <c r="L466" s="23" t="s">
        <v>1518</v>
      </c>
      <c r="M466" s="23" t="s">
        <v>1501</v>
      </c>
      <c r="N466" s="23">
        <v>1999</v>
      </c>
      <c r="O466" s="23"/>
      <c r="P466" s="23">
        <v>3602</v>
      </c>
      <c r="Q466" s="24"/>
    </row>
    <row r="467" spans="11:17" x14ac:dyDescent="0.3">
      <c r="K467" s="85" t="s">
        <v>1500</v>
      </c>
      <c r="L467" s="23" t="s">
        <v>1518</v>
      </c>
      <c r="M467" s="23" t="s">
        <v>1502</v>
      </c>
      <c r="N467" s="23">
        <v>1999</v>
      </c>
      <c r="O467" s="23"/>
      <c r="P467" s="23">
        <v>2007</v>
      </c>
      <c r="Q467" s="24"/>
    </row>
    <row r="468" spans="11:17" x14ac:dyDescent="0.3">
      <c r="K468" s="85" t="s">
        <v>1500</v>
      </c>
      <c r="L468" s="23" t="s">
        <v>1518</v>
      </c>
      <c r="M468" s="23" t="s">
        <v>1503</v>
      </c>
      <c r="N468" s="23">
        <v>1999</v>
      </c>
      <c r="O468" s="23"/>
      <c r="P468" s="23">
        <v>545</v>
      </c>
      <c r="Q468" s="24"/>
    </row>
    <row r="469" spans="11:17" x14ac:dyDescent="0.3">
      <c r="K469" s="85" t="s">
        <v>1500</v>
      </c>
      <c r="L469" s="23" t="s">
        <v>1518</v>
      </c>
      <c r="M469" s="23" t="s">
        <v>1504</v>
      </c>
      <c r="N469" s="23">
        <v>1999</v>
      </c>
      <c r="O469" s="23"/>
      <c r="P469" s="23">
        <v>302</v>
      </c>
      <c r="Q469" s="24"/>
    </row>
    <row r="470" spans="11:17" x14ac:dyDescent="0.3">
      <c r="K470" s="85" t="s">
        <v>1500</v>
      </c>
      <c r="L470" s="23" t="s">
        <v>1518</v>
      </c>
      <c r="M470" s="23" t="s">
        <v>1505</v>
      </c>
      <c r="N470" s="23">
        <v>1999</v>
      </c>
      <c r="O470" s="23"/>
      <c r="P470" s="23">
        <v>1160</v>
      </c>
      <c r="Q470" s="24"/>
    </row>
    <row r="471" spans="11:17" x14ac:dyDescent="0.3">
      <c r="K471" s="85" t="s">
        <v>1500</v>
      </c>
      <c r="L471" s="23" t="s">
        <v>1518</v>
      </c>
      <c r="M471" s="23" t="s">
        <v>1506</v>
      </c>
      <c r="N471" s="23">
        <v>1999</v>
      </c>
      <c r="O471" s="23">
        <v>179</v>
      </c>
      <c r="P471" s="23">
        <v>321</v>
      </c>
      <c r="Q471" s="24"/>
    </row>
    <row r="472" spans="11:17" x14ac:dyDescent="0.3">
      <c r="K472" s="85" t="s">
        <v>1500</v>
      </c>
      <c r="L472" s="23" t="s">
        <v>1518</v>
      </c>
      <c r="M472" s="23" t="s">
        <v>1507</v>
      </c>
      <c r="N472" s="23">
        <v>1999</v>
      </c>
      <c r="O472" s="23">
        <v>186</v>
      </c>
      <c r="P472" s="23">
        <v>133</v>
      </c>
      <c r="Q472" s="24"/>
    </row>
    <row r="473" spans="11:17" x14ac:dyDescent="0.3">
      <c r="K473" s="85" t="s">
        <v>1500</v>
      </c>
      <c r="L473" s="23" t="s">
        <v>1518</v>
      </c>
      <c r="M473" s="23" t="s">
        <v>1508</v>
      </c>
      <c r="N473" s="23">
        <v>1999</v>
      </c>
      <c r="O473" s="23">
        <v>218</v>
      </c>
      <c r="P473" s="23">
        <v>450</v>
      </c>
      <c r="Q473" s="24"/>
    </row>
    <row r="474" spans="11:17" x14ac:dyDescent="0.3">
      <c r="K474" s="85" t="s">
        <v>1500</v>
      </c>
      <c r="L474" s="23" t="s">
        <v>1518</v>
      </c>
      <c r="M474" s="23" t="s">
        <v>1509</v>
      </c>
      <c r="N474" s="23">
        <v>1999</v>
      </c>
      <c r="O474" s="23">
        <v>147</v>
      </c>
      <c r="P474" s="23">
        <v>4</v>
      </c>
      <c r="Q474" s="24"/>
    </row>
    <row r="475" spans="11:17" x14ac:dyDescent="0.3">
      <c r="K475" s="85" t="s">
        <v>1510</v>
      </c>
      <c r="L475" s="23" t="s">
        <v>1518</v>
      </c>
      <c r="M475" s="23" t="s">
        <v>1501</v>
      </c>
      <c r="N475" s="23">
        <v>1999</v>
      </c>
      <c r="O475" s="23"/>
      <c r="P475" s="23">
        <v>9236</v>
      </c>
      <c r="Q475" s="24"/>
    </row>
    <row r="476" spans="11:17" x14ac:dyDescent="0.3">
      <c r="K476" s="85" t="s">
        <v>1510</v>
      </c>
      <c r="L476" s="23" t="s">
        <v>1518</v>
      </c>
      <c r="M476" s="23" t="s">
        <v>1502</v>
      </c>
      <c r="N476" s="23">
        <v>1999</v>
      </c>
      <c r="O476" s="23"/>
      <c r="P476" s="23">
        <v>4030</v>
      </c>
      <c r="Q476" s="24"/>
    </row>
    <row r="477" spans="11:17" x14ac:dyDescent="0.3">
      <c r="K477" s="85" t="s">
        <v>1510</v>
      </c>
      <c r="L477" s="23" t="s">
        <v>1518</v>
      </c>
      <c r="M477" s="23" t="s">
        <v>1503</v>
      </c>
      <c r="N477" s="23">
        <v>1999</v>
      </c>
      <c r="O477" s="23"/>
      <c r="P477" s="23">
        <v>3404</v>
      </c>
      <c r="Q477" s="24"/>
    </row>
    <row r="478" spans="11:17" x14ac:dyDescent="0.3">
      <c r="K478" s="85" t="s">
        <v>1510</v>
      </c>
      <c r="L478" s="23" t="s">
        <v>1518</v>
      </c>
      <c r="M478" s="23" t="s">
        <v>1504</v>
      </c>
      <c r="N478" s="23">
        <v>1999</v>
      </c>
      <c r="O478" s="23"/>
      <c r="P478" s="23">
        <v>1458</v>
      </c>
      <c r="Q478" s="24"/>
    </row>
    <row r="479" spans="11:17" x14ac:dyDescent="0.3">
      <c r="K479" s="85" t="s">
        <v>1510</v>
      </c>
      <c r="L479" s="23" t="s">
        <v>1518</v>
      </c>
      <c r="M479" s="23" t="s">
        <v>1505</v>
      </c>
      <c r="N479" s="23">
        <v>1999</v>
      </c>
      <c r="O479" s="23"/>
      <c r="P479" s="23">
        <v>-832</v>
      </c>
      <c r="Q479" s="24"/>
    </row>
    <row r="480" spans="11:17" x14ac:dyDescent="0.3">
      <c r="K480" s="85" t="s">
        <v>1510</v>
      </c>
      <c r="L480" s="23" t="s">
        <v>1518</v>
      </c>
      <c r="M480" s="23" t="s">
        <v>1506</v>
      </c>
      <c r="N480" s="23">
        <v>1999</v>
      </c>
      <c r="O480" s="23">
        <v>180</v>
      </c>
      <c r="P480" s="23">
        <v>261</v>
      </c>
      <c r="Q480" s="24"/>
    </row>
    <row r="481" spans="11:17" x14ac:dyDescent="0.3">
      <c r="K481" s="85" t="s">
        <v>1510</v>
      </c>
      <c r="L481" s="23" t="s">
        <v>1518</v>
      </c>
      <c r="M481" s="23" t="s">
        <v>1507</v>
      </c>
      <c r="N481" s="23">
        <v>1999</v>
      </c>
      <c r="O481" s="23">
        <v>187</v>
      </c>
      <c r="P481" s="23">
        <v>171</v>
      </c>
      <c r="Q481" s="24"/>
    </row>
    <row r="482" spans="11:17" x14ac:dyDescent="0.3">
      <c r="K482" s="85" t="s">
        <v>1510</v>
      </c>
      <c r="L482" s="23" t="s">
        <v>1518</v>
      </c>
      <c r="M482" s="23" t="s">
        <v>1508</v>
      </c>
      <c r="N482" s="23">
        <v>1999</v>
      </c>
      <c r="O482" s="23">
        <v>219</v>
      </c>
      <c r="P482" s="23">
        <v>673</v>
      </c>
      <c r="Q482" s="24"/>
    </row>
    <row r="483" spans="11:17" x14ac:dyDescent="0.3">
      <c r="K483" s="85" t="s">
        <v>1510</v>
      </c>
      <c r="L483" s="23" t="s">
        <v>1518</v>
      </c>
      <c r="M483" s="23" t="s">
        <v>1509</v>
      </c>
      <c r="N483" s="23">
        <v>1999</v>
      </c>
      <c r="O483" s="23">
        <v>148</v>
      </c>
      <c r="P483" s="23">
        <v>-241</v>
      </c>
      <c r="Q483" s="24"/>
    </row>
    <row r="484" spans="11:17" x14ac:dyDescent="0.3">
      <c r="K484" s="85" t="s">
        <v>1500</v>
      </c>
      <c r="L484" s="23" t="s">
        <v>1518</v>
      </c>
      <c r="M484" s="23" t="s">
        <v>1501</v>
      </c>
      <c r="N484" s="23">
        <v>1998</v>
      </c>
      <c r="O484" s="23"/>
      <c r="P484" s="23">
        <v>3863</v>
      </c>
      <c r="Q484" s="24"/>
    </row>
    <row r="485" spans="11:17" x14ac:dyDescent="0.3">
      <c r="K485" s="85" t="s">
        <v>1500</v>
      </c>
      <c r="L485" s="23" t="s">
        <v>1518</v>
      </c>
      <c r="M485" s="23" t="s">
        <v>1502</v>
      </c>
      <c r="N485" s="23">
        <v>1998</v>
      </c>
      <c r="O485" s="23"/>
      <c r="P485" s="23">
        <v>1291</v>
      </c>
      <c r="Q485" s="24"/>
    </row>
    <row r="486" spans="11:17" x14ac:dyDescent="0.3">
      <c r="K486" s="85" t="s">
        <v>1500</v>
      </c>
      <c r="L486" s="23" t="s">
        <v>1518</v>
      </c>
      <c r="M486" s="23" t="s">
        <v>1503</v>
      </c>
      <c r="N486" s="23">
        <v>1998</v>
      </c>
      <c r="O486" s="23"/>
      <c r="P486" s="23">
        <v>333</v>
      </c>
      <c r="Q486" s="24"/>
    </row>
    <row r="487" spans="11:17" x14ac:dyDescent="0.3">
      <c r="K487" s="85" t="s">
        <v>1500</v>
      </c>
      <c r="L487" s="23" t="s">
        <v>1518</v>
      </c>
      <c r="M487" s="23" t="s">
        <v>1504</v>
      </c>
      <c r="N487" s="23">
        <v>1998</v>
      </c>
      <c r="O487" s="23"/>
      <c r="P487" s="23">
        <v>141</v>
      </c>
      <c r="Q487" s="24"/>
    </row>
    <row r="488" spans="11:17" x14ac:dyDescent="0.3">
      <c r="K488" s="85" t="s">
        <v>1500</v>
      </c>
      <c r="L488" s="23" t="s">
        <v>1518</v>
      </c>
      <c r="M488" s="23" t="s">
        <v>1505</v>
      </c>
      <c r="N488" s="23">
        <v>1998</v>
      </c>
      <c r="O488" s="23"/>
      <c r="P488" s="23">
        <v>817</v>
      </c>
      <c r="Q488" s="24"/>
    </row>
    <row r="489" spans="11:17" x14ac:dyDescent="0.3">
      <c r="K489" s="85" t="s">
        <v>1500</v>
      </c>
      <c r="L489" s="23" t="s">
        <v>1518</v>
      </c>
      <c r="M489" s="23" t="s">
        <v>1506</v>
      </c>
      <c r="N489" s="23">
        <v>1998</v>
      </c>
      <c r="O489" s="23">
        <v>237</v>
      </c>
      <c r="P489" s="23">
        <v>300</v>
      </c>
      <c r="Q489" s="24"/>
    </row>
    <row r="490" spans="11:17" x14ac:dyDescent="0.3">
      <c r="K490" s="85" t="s">
        <v>1500</v>
      </c>
      <c r="L490" s="23" t="s">
        <v>1518</v>
      </c>
      <c r="M490" s="23" t="s">
        <v>1507</v>
      </c>
      <c r="N490" s="23">
        <v>1998</v>
      </c>
      <c r="O490" s="23">
        <v>244</v>
      </c>
      <c r="P490" s="23">
        <v>98</v>
      </c>
      <c r="Q490" s="24"/>
    </row>
    <row r="491" spans="11:17" x14ac:dyDescent="0.3">
      <c r="K491" s="85" t="s">
        <v>1500</v>
      </c>
      <c r="L491" s="23" t="s">
        <v>1518</v>
      </c>
      <c r="M491" s="23" t="s">
        <v>1508</v>
      </c>
      <c r="N491" s="23">
        <v>1998</v>
      </c>
      <c r="O491" s="23">
        <v>276</v>
      </c>
      <c r="P491" s="23">
        <v>134</v>
      </c>
      <c r="Q491" s="24"/>
    </row>
    <row r="492" spans="11:17" x14ac:dyDescent="0.3">
      <c r="K492" s="85" t="s">
        <v>1500</v>
      </c>
      <c r="L492" s="23" t="s">
        <v>1518</v>
      </c>
      <c r="M492" s="23" t="s">
        <v>1509</v>
      </c>
      <c r="N492" s="23">
        <v>1998</v>
      </c>
      <c r="O492" s="23">
        <v>205</v>
      </c>
      <c r="P492" s="23">
        <v>264</v>
      </c>
      <c r="Q492" s="24"/>
    </row>
    <row r="493" spans="11:17" x14ac:dyDescent="0.3">
      <c r="K493" s="85" t="s">
        <v>1510</v>
      </c>
      <c r="L493" s="23" t="s">
        <v>1518</v>
      </c>
      <c r="M493" s="23" t="s">
        <v>1501</v>
      </c>
      <c r="N493" s="23">
        <v>1998</v>
      </c>
      <c r="O493" s="23"/>
      <c r="P493" s="23">
        <v>4149</v>
      </c>
      <c r="Q493" s="24"/>
    </row>
    <row r="494" spans="11:17" x14ac:dyDescent="0.3">
      <c r="K494" s="85" t="s">
        <v>1510</v>
      </c>
      <c r="L494" s="23" t="s">
        <v>1518</v>
      </c>
      <c r="M494" s="23" t="s">
        <v>1502</v>
      </c>
      <c r="N494" s="23">
        <v>1998</v>
      </c>
      <c r="O494" s="23"/>
      <c r="P494" s="23">
        <v>2485</v>
      </c>
      <c r="Q494" s="24"/>
    </row>
    <row r="495" spans="11:17" x14ac:dyDescent="0.3">
      <c r="K495" s="85" t="s">
        <v>1510</v>
      </c>
      <c r="L495" s="23" t="s">
        <v>1518</v>
      </c>
      <c r="M495" s="23" t="s">
        <v>1503</v>
      </c>
      <c r="N495" s="23">
        <v>1998</v>
      </c>
      <c r="O495" s="23"/>
      <c r="P495" s="23">
        <v>1670</v>
      </c>
      <c r="Q495" s="24"/>
    </row>
    <row r="496" spans="11:17" x14ac:dyDescent="0.3">
      <c r="K496" s="85" t="s">
        <v>1510</v>
      </c>
      <c r="L496" s="23" t="s">
        <v>1518</v>
      </c>
      <c r="M496" s="23" t="s">
        <v>1504</v>
      </c>
      <c r="N496" s="23">
        <v>1998</v>
      </c>
      <c r="O496" s="23"/>
      <c r="P496" s="23">
        <v>331</v>
      </c>
      <c r="Q496" s="24"/>
    </row>
    <row r="497" spans="11:17" x14ac:dyDescent="0.3">
      <c r="K497" s="85" t="s">
        <v>1510</v>
      </c>
      <c r="L497" s="23" t="s">
        <v>1518</v>
      </c>
      <c r="M497" s="23" t="s">
        <v>1505</v>
      </c>
      <c r="N497" s="23">
        <v>1998</v>
      </c>
      <c r="O497" s="23"/>
      <c r="P497" s="23">
        <v>484</v>
      </c>
      <c r="Q497" s="24"/>
    </row>
    <row r="498" spans="11:17" x14ac:dyDescent="0.3">
      <c r="K498" s="85" t="s">
        <v>1510</v>
      </c>
      <c r="L498" s="23" t="s">
        <v>1518</v>
      </c>
      <c r="M498" s="23" t="s">
        <v>1506</v>
      </c>
      <c r="N498" s="23">
        <v>1998</v>
      </c>
      <c r="O498" s="23">
        <v>238</v>
      </c>
      <c r="P498" s="23">
        <v>93</v>
      </c>
      <c r="Q498" s="24"/>
    </row>
    <row r="499" spans="11:17" x14ac:dyDescent="0.3">
      <c r="K499" s="85" t="s">
        <v>1510</v>
      </c>
      <c r="L499" s="23" t="s">
        <v>1518</v>
      </c>
      <c r="M499" s="23" t="s">
        <v>1507</v>
      </c>
      <c r="N499" s="23">
        <v>1998</v>
      </c>
      <c r="O499" s="23">
        <v>245</v>
      </c>
      <c r="P499" s="23">
        <v>267</v>
      </c>
      <c r="Q499" s="24"/>
    </row>
    <row r="500" spans="11:17" x14ac:dyDescent="0.3">
      <c r="K500" s="85" t="s">
        <v>1510</v>
      </c>
      <c r="L500" s="23" t="s">
        <v>1518</v>
      </c>
      <c r="M500" s="23" t="s">
        <v>1508</v>
      </c>
      <c r="N500" s="23">
        <v>1998</v>
      </c>
      <c r="O500" s="23">
        <v>277</v>
      </c>
      <c r="P500" s="23">
        <v>328</v>
      </c>
      <c r="Q500" s="24"/>
    </row>
    <row r="501" spans="11:17" x14ac:dyDescent="0.3">
      <c r="K501" s="85" t="s">
        <v>1510</v>
      </c>
      <c r="L501" s="23" t="s">
        <v>1518</v>
      </c>
      <c r="M501" s="23" t="s">
        <v>1509</v>
      </c>
      <c r="N501" s="23">
        <v>1998</v>
      </c>
      <c r="O501" s="23">
        <v>206</v>
      </c>
      <c r="P501" s="23">
        <v>32</v>
      </c>
      <c r="Q501" s="24"/>
    </row>
    <row r="502" spans="11:17" x14ac:dyDescent="0.3">
      <c r="K502" s="85" t="s">
        <v>1500</v>
      </c>
      <c r="L502" s="23" t="s">
        <v>360</v>
      </c>
      <c r="M502" s="23" t="s">
        <v>1501</v>
      </c>
      <c r="N502" s="23">
        <v>2000</v>
      </c>
      <c r="O502" s="23"/>
      <c r="P502" s="23">
        <v>2615</v>
      </c>
      <c r="Q502" s="24"/>
    </row>
    <row r="503" spans="11:17" x14ac:dyDescent="0.3">
      <c r="K503" s="85" t="s">
        <v>1500</v>
      </c>
      <c r="L503" s="23" t="s">
        <v>360</v>
      </c>
      <c r="M503" s="23" t="s">
        <v>1502</v>
      </c>
      <c r="N503" s="23">
        <v>2000</v>
      </c>
      <c r="O503" s="23"/>
      <c r="P503" s="23">
        <v>935</v>
      </c>
      <c r="Q503" s="24"/>
    </row>
    <row r="504" spans="11:17" x14ac:dyDescent="0.3">
      <c r="K504" s="85" t="s">
        <v>1500</v>
      </c>
      <c r="L504" s="23" t="s">
        <v>360</v>
      </c>
      <c r="M504" s="23" t="s">
        <v>1503</v>
      </c>
      <c r="N504" s="23">
        <v>2000</v>
      </c>
      <c r="O504" s="23"/>
      <c r="P504" s="23">
        <v>313</v>
      </c>
      <c r="Q504" s="24"/>
    </row>
    <row r="505" spans="11:17" x14ac:dyDescent="0.3">
      <c r="K505" s="85" t="s">
        <v>1500</v>
      </c>
      <c r="L505" s="23" t="s">
        <v>360</v>
      </c>
      <c r="M505" s="23" t="s">
        <v>1504</v>
      </c>
      <c r="N505" s="23">
        <v>2000</v>
      </c>
      <c r="O505" s="23"/>
      <c r="P505" s="23">
        <v>224</v>
      </c>
      <c r="Q505" s="24"/>
    </row>
    <row r="506" spans="11:17" x14ac:dyDescent="0.3">
      <c r="K506" s="85" t="s">
        <v>1500</v>
      </c>
      <c r="L506" s="23" t="s">
        <v>360</v>
      </c>
      <c r="M506" s="23" t="s">
        <v>1505</v>
      </c>
      <c r="N506" s="23">
        <v>2000</v>
      </c>
      <c r="O506" s="23"/>
      <c r="P506" s="23">
        <v>393</v>
      </c>
      <c r="Q506" s="24"/>
    </row>
    <row r="507" spans="11:17" x14ac:dyDescent="0.3">
      <c r="K507" s="85" t="s">
        <v>1500</v>
      </c>
      <c r="L507" s="23" t="s">
        <v>360</v>
      </c>
      <c r="M507" s="23" t="s">
        <v>1506</v>
      </c>
      <c r="N507" s="23">
        <v>2000</v>
      </c>
      <c r="O507" s="23">
        <v>311</v>
      </c>
      <c r="P507" s="23">
        <v>297</v>
      </c>
      <c r="Q507" s="24"/>
    </row>
    <row r="508" spans="11:17" x14ac:dyDescent="0.3">
      <c r="K508" s="85" t="s">
        <v>1500</v>
      </c>
      <c r="L508" s="23" t="s">
        <v>360</v>
      </c>
      <c r="M508" s="23" t="s">
        <v>1507</v>
      </c>
      <c r="N508" s="23">
        <v>2000</v>
      </c>
      <c r="O508" s="23">
        <v>318</v>
      </c>
      <c r="P508" s="23">
        <v>91</v>
      </c>
      <c r="Q508" s="24"/>
    </row>
    <row r="509" spans="11:17" x14ac:dyDescent="0.3">
      <c r="K509" s="85" t="s">
        <v>1500</v>
      </c>
      <c r="L509" s="23" t="s">
        <v>360</v>
      </c>
      <c r="M509" s="23" t="s">
        <v>1508</v>
      </c>
      <c r="N509" s="23">
        <v>2000</v>
      </c>
      <c r="O509" s="23">
        <v>350</v>
      </c>
      <c r="P509" s="23">
        <v>180</v>
      </c>
      <c r="Q509" s="24"/>
    </row>
    <row r="510" spans="11:17" x14ac:dyDescent="0.3">
      <c r="K510" s="85" t="s">
        <v>1500</v>
      </c>
      <c r="L510" s="23" t="s">
        <v>360</v>
      </c>
      <c r="M510" s="23" t="s">
        <v>1509</v>
      </c>
      <c r="N510" s="23">
        <v>2000</v>
      </c>
      <c r="O510" s="23">
        <v>279</v>
      </c>
      <c r="P510" s="23">
        <v>344</v>
      </c>
      <c r="Q510" s="24"/>
    </row>
    <row r="511" spans="11:17" x14ac:dyDescent="0.3">
      <c r="K511" s="85" t="s">
        <v>1510</v>
      </c>
      <c r="L511" s="23" t="s">
        <v>360</v>
      </c>
      <c r="M511" s="23" t="s">
        <v>1501</v>
      </c>
      <c r="N511" s="23">
        <v>2000</v>
      </c>
      <c r="O511" s="23"/>
      <c r="P511" s="23">
        <v>1128</v>
      </c>
      <c r="Q511" s="24"/>
    </row>
    <row r="512" spans="11:17" x14ac:dyDescent="0.3">
      <c r="K512" s="85" t="s">
        <v>1510</v>
      </c>
      <c r="L512" s="23" t="s">
        <v>360</v>
      </c>
      <c r="M512" s="23" t="s">
        <v>1502</v>
      </c>
      <c r="N512" s="23">
        <v>2000</v>
      </c>
      <c r="O512" s="23"/>
      <c r="P512" s="23">
        <v>705</v>
      </c>
      <c r="Q512" s="24"/>
    </row>
    <row r="513" spans="11:17" x14ac:dyDescent="0.3">
      <c r="K513" s="85" t="s">
        <v>1510</v>
      </c>
      <c r="L513" s="23" t="s">
        <v>360</v>
      </c>
      <c r="M513" s="23" t="s">
        <v>1503</v>
      </c>
      <c r="N513" s="23">
        <v>2000</v>
      </c>
      <c r="O513" s="23"/>
      <c r="P513" s="23">
        <v>492</v>
      </c>
      <c r="Q513" s="24"/>
    </row>
    <row r="514" spans="11:17" x14ac:dyDescent="0.3">
      <c r="K514" s="85" t="s">
        <v>1510</v>
      </c>
      <c r="L514" s="23" t="s">
        <v>360</v>
      </c>
      <c r="M514" s="23" t="s">
        <v>1504</v>
      </c>
      <c r="N514" s="23">
        <v>2000</v>
      </c>
      <c r="O514" s="23"/>
      <c r="P514" s="23">
        <v>97</v>
      </c>
      <c r="Q514" s="24"/>
    </row>
    <row r="515" spans="11:17" x14ac:dyDescent="0.3">
      <c r="K515" s="85" t="s">
        <v>1510</v>
      </c>
      <c r="L515" s="23" t="s">
        <v>360</v>
      </c>
      <c r="M515" s="23" t="s">
        <v>1505</v>
      </c>
      <c r="N515" s="23">
        <v>2000</v>
      </c>
      <c r="O515" s="23"/>
      <c r="P515" s="23">
        <v>49</v>
      </c>
      <c r="Q515" s="24"/>
    </row>
    <row r="516" spans="11:17" x14ac:dyDescent="0.3">
      <c r="K516" s="85" t="s">
        <v>1510</v>
      </c>
      <c r="L516" s="23" t="s">
        <v>360</v>
      </c>
      <c r="M516" s="23" t="s">
        <v>1506</v>
      </c>
      <c r="N516" s="23">
        <v>2000</v>
      </c>
      <c r="O516" s="23">
        <v>312</v>
      </c>
      <c r="P516" s="23">
        <v>147</v>
      </c>
      <c r="Q516" s="24"/>
    </row>
    <row r="517" spans="11:17" x14ac:dyDescent="0.3">
      <c r="K517" s="85" t="s">
        <v>1510</v>
      </c>
      <c r="L517" s="23" t="s">
        <v>360</v>
      </c>
      <c r="M517" s="23" t="s">
        <v>1507</v>
      </c>
      <c r="N517" s="23">
        <v>2000</v>
      </c>
      <c r="O517" s="23">
        <v>319</v>
      </c>
      <c r="P517" s="23">
        <v>380</v>
      </c>
      <c r="Q517" s="24"/>
    </row>
    <row r="518" spans="11:17" x14ac:dyDescent="0.3">
      <c r="K518" s="85" t="s">
        <v>1510</v>
      </c>
      <c r="L518" s="23" t="s">
        <v>360</v>
      </c>
      <c r="M518" s="23" t="s">
        <v>1508</v>
      </c>
      <c r="N518" s="23">
        <v>2000</v>
      </c>
      <c r="O518" s="23">
        <v>351</v>
      </c>
      <c r="P518" s="23">
        <v>107</v>
      </c>
      <c r="Q518" s="24"/>
    </row>
    <row r="519" spans="11:17" x14ac:dyDescent="0.3">
      <c r="K519" s="85" t="s">
        <v>1510</v>
      </c>
      <c r="L519" s="23" t="s">
        <v>360</v>
      </c>
      <c r="M519" s="23" t="s">
        <v>1509</v>
      </c>
      <c r="N519" s="23">
        <v>2000</v>
      </c>
      <c r="O519" s="23">
        <v>280</v>
      </c>
      <c r="P519" s="23">
        <v>455</v>
      </c>
      <c r="Q519" s="24"/>
    </row>
    <row r="520" spans="11:17" x14ac:dyDescent="0.3">
      <c r="K520" s="85" t="s">
        <v>1500</v>
      </c>
      <c r="L520" s="23" t="s">
        <v>360</v>
      </c>
      <c r="M520" s="23" t="s">
        <v>1501</v>
      </c>
      <c r="N520" s="23">
        <v>1999</v>
      </c>
      <c r="O520" s="23"/>
      <c r="P520" s="23">
        <v>2566</v>
      </c>
      <c r="Q520" s="24"/>
    </row>
    <row r="521" spans="11:17" x14ac:dyDescent="0.3">
      <c r="K521" s="85" t="s">
        <v>1500</v>
      </c>
      <c r="L521" s="23" t="s">
        <v>360</v>
      </c>
      <c r="M521" s="23" t="s">
        <v>1502</v>
      </c>
      <c r="N521" s="23">
        <v>1999</v>
      </c>
      <c r="O521" s="23"/>
      <c r="P521" s="23">
        <v>860</v>
      </c>
      <c r="Q521" s="24"/>
    </row>
    <row r="522" spans="11:17" x14ac:dyDescent="0.3">
      <c r="K522" s="85" t="s">
        <v>1500</v>
      </c>
      <c r="L522" s="23" t="s">
        <v>360</v>
      </c>
      <c r="M522" s="23" t="s">
        <v>1503</v>
      </c>
      <c r="N522" s="23">
        <v>1999</v>
      </c>
      <c r="O522" s="23"/>
      <c r="P522" s="23">
        <v>316</v>
      </c>
      <c r="Q522" s="24"/>
    </row>
    <row r="523" spans="11:17" x14ac:dyDescent="0.3">
      <c r="K523" s="85" t="s">
        <v>1500</v>
      </c>
      <c r="L523" s="23" t="s">
        <v>360</v>
      </c>
      <c r="M523" s="23" t="s">
        <v>1504</v>
      </c>
      <c r="N523" s="23">
        <v>1999</v>
      </c>
      <c r="O523" s="23"/>
      <c r="P523" s="23">
        <v>219</v>
      </c>
      <c r="Q523" s="24"/>
    </row>
    <row r="524" spans="11:17" x14ac:dyDescent="0.3">
      <c r="K524" s="85" t="s">
        <v>1500</v>
      </c>
      <c r="L524" s="23" t="s">
        <v>360</v>
      </c>
      <c r="M524" s="23" t="s">
        <v>1505</v>
      </c>
      <c r="N524" s="23">
        <v>1999</v>
      </c>
      <c r="O524" s="23"/>
      <c r="P524" s="23">
        <v>370</v>
      </c>
      <c r="Q524" s="24"/>
    </row>
    <row r="525" spans="11:17" x14ac:dyDescent="0.3">
      <c r="K525" s="85" t="s">
        <v>1500</v>
      </c>
      <c r="L525" s="23" t="s">
        <v>360</v>
      </c>
      <c r="M525" s="23" t="s">
        <v>1506</v>
      </c>
      <c r="N525" s="23">
        <v>1999</v>
      </c>
      <c r="O525" s="23">
        <v>311</v>
      </c>
      <c r="P525" s="23">
        <v>310</v>
      </c>
      <c r="Q525" s="24"/>
    </row>
    <row r="526" spans="11:17" x14ac:dyDescent="0.3">
      <c r="K526" s="85" t="s">
        <v>1500</v>
      </c>
      <c r="L526" s="23" t="s">
        <v>360</v>
      </c>
      <c r="M526" s="23" t="s">
        <v>1507</v>
      </c>
      <c r="N526" s="23">
        <v>1999</v>
      </c>
      <c r="O526" s="23">
        <v>318</v>
      </c>
      <c r="P526" s="23">
        <v>158</v>
      </c>
      <c r="Q526" s="24"/>
    </row>
    <row r="527" spans="11:17" x14ac:dyDescent="0.3">
      <c r="K527" s="85" t="s">
        <v>1500</v>
      </c>
      <c r="L527" s="23" t="s">
        <v>360</v>
      </c>
      <c r="M527" s="23" t="s">
        <v>1508</v>
      </c>
      <c r="N527" s="23">
        <v>1999</v>
      </c>
      <c r="O527" s="23">
        <v>350</v>
      </c>
      <c r="P527" s="23">
        <v>211</v>
      </c>
      <c r="Q527" s="24"/>
    </row>
    <row r="528" spans="11:17" x14ac:dyDescent="0.3">
      <c r="K528" s="85" t="s">
        <v>1500</v>
      </c>
      <c r="L528" s="23" t="s">
        <v>360</v>
      </c>
      <c r="M528" s="23" t="s">
        <v>1509</v>
      </c>
      <c r="N528" s="23">
        <v>1999</v>
      </c>
      <c r="O528" s="23">
        <v>279</v>
      </c>
      <c r="P528" s="23">
        <v>326</v>
      </c>
      <c r="Q528" s="24"/>
    </row>
    <row r="529" spans="11:17" x14ac:dyDescent="0.3">
      <c r="K529" s="85" t="s">
        <v>1510</v>
      </c>
      <c r="L529" s="23" t="s">
        <v>360</v>
      </c>
      <c r="M529" s="23" t="s">
        <v>1501</v>
      </c>
      <c r="N529" s="23">
        <v>1999</v>
      </c>
      <c r="O529" s="23"/>
      <c r="P529" s="23">
        <v>1174</v>
      </c>
      <c r="Q529" s="24"/>
    </row>
    <row r="530" spans="11:17" x14ac:dyDescent="0.3">
      <c r="K530" s="85" t="s">
        <v>1510</v>
      </c>
      <c r="L530" s="23" t="s">
        <v>360</v>
      </c>
      <c r="M530" s="23" t="s">
        <v>1502</v>
      </c>
      <c r="N530" s="23">
        <v>1999</v>
      </c>
      <c r="O530" s="23"/>
      <c r="P530" s="23">
        <v>764</v>
      </c>
      <c r="Q530" s="24"/>
    </row>
    <row r="531" spans="11:17" x14ac:dyDescent="0.3">
      <c r="K531" s="85" t="s">
        <v>1510</v>
      </c>
      <c r="L531" s="23" t="s">
        <v>360</v>
      </c>
      <c r="M531" s="23" t="s">
        <v>1503</v>
      </c>
      <c r="N531" s="23">
        <v>1999</v>
      </c>
      <c r="O531" s="23"/>
      <c r="P531" s="23">
        <v>464</v>
      </c>
      <c r="Q531" s="24"/>
    </row>
    <row r="532" spans="11:17" x14ac:dyDescent="0.3">
      <c r="K532" s="85" t="s">
        <v>1510</v>
      </c>
      <c r="L532" s="23" t="s">
        <v>360</v>
      </c>
      <c r="M532" s="23" t="s">
        <v>1504</v>
      </c>
      <c r="N532" s="23">
        <v>1999</v>
      </c>
      <c r="O532" s="23"/>
      <c r="P532" s="23">
        <v>191</v>
      </c>
      <c r="Q532" s="24"/>
    </row>
    <row r="533" spans="11:17" x14ac:dyDescent="0.3">
      <c r="K533" s="85" t="s">
        <v>1510</v>
      </c>
      <c r="L533" s="23" t="s">
        <v>360</v>
      </c>
      <c r="M533" s="23" t="s">
        <v>1505</v>
      </c>
      <c r="N533" s="23">
        <v>1999</v>
      </c>
      <c r="O533" s="23"/>
      <c r="P533" s="23">
        <v>71</v>
      </c>
      <c r="Q533" s="24"/>
    </row>
    <row r="534" spans="11:17" x14ac:dyDescent="0.3">
      <c r="K534" s="85" t="s">
        <v>1510</v>
      </c>
      <c r="L534" s="23" t="s">
        <v>360</v>
      </c>
      <c r="M534" s="23" t="s">
        <v>1506</v>
      </c>
      <c r="N534" s="23">
        <v>1999</v>
      </c>
      <c r="O534" s="23">
        <v>312</v>
      </c>
      <c r="P534" s="23">
        <v>92</v>
      </c>
      <c r="Q534" s="24"/>
    </row>
    <row r="535" spans="11:17" x14ac:dyDescent="0.3">
      <c r="K535" s="85" t="s">
        <v>1510</v>
      </c>
      <c r="L535" s="23" t="s">
        <v>360</v>
      </c>
      <c r="M535" s="23" t="s">
        <v>1507</v>
      </c>
      <c r="N535" s="23">
        <v>1999</v>
      </c>
      <c r="O535" s="23">
        <v>319</v>
      </c>
      <c r="P535" s="23">
        <v>371</v>
      </c>
      <c r="Q535" s="24"/>
    </row>
    <row r="536" spans="11:17" x14ac:dyDescent="0.3">
      <c r="K536" s="85" t="s">
        <v>1510</v>
      </c>
      <c r="L536" s="23" t="s">
        <v>360</v>
      </c>
      <c r="M536" s="23" t="s">
        <v>1508</v>
      </c>
      <c r="N536" s="23">
        <v>1999</v>
      </c>
      <c r="O536" s="23">
        <v>351</v>
      </c>
      <c r="P536" s="23">
        <v>104</v>
      </c>
      <c r="Q536" s="24"/>
    </row>
    <row r="537" spans="11:17" x14ac:dyDescent="0.3">
      <c r="K537" s="85" t="s">
        <v>1510</v>
      </c>
      <c r="L537" s="23" t="s">
        <v>360</v>
      </c>
      <c r="M537" s="23" t="s">
        <v>1509</v>
      </c>
      <c r="N537" s="23">
        <v>1999</v>
      </c>
      <c r="O537" s="23">
        <v>280</v>
      </c>
      <c r="P537" s="23">
        <v>456</v>
      </c>
      <c r="Q537" s="24"/>
    </row>
    <row r="538" spans="11:17" x14ac:dyDescent="0.3">
      <c r="K538" s="85" t="s">
        <v>1500</v>
      </c>
      <c r="L538" s="23" t="s">
        <v>360</v>
      </c>
      <c r="M538" s="23" t="s">
        <v>1501</v>
      </c>
      <c r="N538" s="23">
        <v>1998</v>
      </c>
      <c r="O538" s="23"/>
      <c r="P538" s="23">
        <v>2613</v>
      </c>
      <c r="Q538" s="24"/>
    </row>
    <row r="539" spans="11:17" x14ac:dyDescent="0.3">
      <c r="K539" s="85" t="s">
        <v>1500</v>
      </c>
      <c r="L539" s="23" t="s">
        <v>360</v>
      </c>
      <c r="M539" s="23" t="s">
        <v>1502</v>
      </c>
      <c r="N539" s="23">
        <v>1998</v>
      </c>
      <c r="O539" s="23"/>
      <c r="P539" s="23">
        <v>927</v>
      </c>
      <c r="Q539" s="24"/>
    </row>
    <row r="540" spans="11:17" x14ac:dyDescent="0.3">
      <c r="K540" s="85" t="s">
        <v>1500</v>
      </c>
      <c r="L540" s="23" t="s">
        <v>360</v>
      </c>
      <c r="M540" s="23" t="s">
        <v>1503</v>
      </c>
      <c r="N540" s="23">
        <v>1998</v>
      </c>
      <c r="O540" s="23"/>
      <c r="P540" s="23">
        <v>263</v>
      </c>
      <c r="Q540" s="24"/>
    </row>
    <row r="541" spans="11:17" x14ac:dyDescent="0.3">
      <c r="K541" s="85" t="s">
        <v>1500</v>
      </c>
      <c r="L541" s="23" t="s">
        <v>360</v>
      </c>
      <c r="M541" s="23" t="s">
        <v>1504</v>
      </c>
      <c r="N541" s="23">
        <v>1998</v>
      </c>
      <c r="O541" s="23"/>
      <c r="P541" s="23">
        <v>180</v>
      </c>
      <c r="Q541" s="24"/>
    </row>
    <row r="542" spans="11:17" x14ac:dyDescent="0.3">
      <c r="K542" s="85" t="s">
        <v>1500</v>
      </c>
      <c r="L542" s="23" t="s">
        <v>360</v>
      </c>
      <c r="M542" s="23" t="s">
        <v>1505</v>
      </c>
      <c r="N542" s="23">
        <v>1998</v>
      </c>
      <c r="O542" s="23"/>
      <c r="P542" s="23">
        <v>459</v>
      </c>
      <c r="Q542" s="24"/>
    </row>
    <row r="543" spans="11:17" x14ac:dyDescent="0.3">
      <c r="K543" s="85" t="s">
        <v>1500</v>
      </c>
      <c r="L543" s="23" t="s">
        <v>360</v>
      </c>
      <c r="M543" s="23" t="s">
        <v>1506</v>
      </c>
      <c r="N543" s="23">
        <v>1998</v>
      </c>
      <c r="O543" s="23">
        <v>311</v>
      </c>
      <c r="P543" s="23">
        <v>350</v>
      </c>
      <c r="Q543" s="24"/>
    </row>
    <row r="544" spans="11:17" x14ac:dyDescent="0.3">
      <c r="K544" s="85" t="s">
        <v>1500</v>
      </c>
      <c r="L544" s="23" t="s">
        <v>360</v>
      </c>
      <c r="M544" s="23" t="s">
        <v>1507</v>
      </c>
      <c r="N544" s="23">
        <v>1998</v>
      </c>
      <c r="O544" s="23">
        <v>318</v>
      </c>
      <c r="P544" s="23">
        <v>102</v>
      </c>
      <c r="Q544" s="24"/>
    </row>
    <row r="545" spans="11:17" x14ac:dyDescent="0.3">
      <c r="K545" s="85" t="s">
        <v>1500</v>
      </c>
      <c r="L545" s="23" t="s">
        <v>360</v>
      </c>
      <c r="M545" s="23" t="s">
        <v>1508</v>
      </c>
      <c r="N545" s="23">
        <v>1998</v>
      </c>
      <c r="O545" s="23">
        <v>350</v>
      </c>
      <c r="P545" s="23">
        <v>174</v>
      </c>
      <c r="Q545" s="24"/>
    </row>
    <row r="546" spans="11:17" x14ac:dyDescent="0.3">
      <c r="K546" s="85" t="s">
        <v>1500</v>
      </c>
      <c r="L546" s="23" t="s">
        <v>360</v>
      </c>
      <c r="M546" s="23" t="s">
        <v>1509</v>
      </c>
      <c r="N546" s="23">
        <v>1998</v>
      </c>
      <c r="O546" s="23">
        <v>279</v>
      </c>
      <c r="P546" s="23">
        <v>389</v>
      </c>
      <c r="Q546" s="24"/>
    </row>
    <row r="547" spans="11:17" x14ac:dyDescent="0.3">
      <c r="K547" s="85" t="s">
        <v>1510</v>
      </c>
      <c r="L547" s="23" t="s">
        <v>360</v>
      </c>
      <c r="M547" s="23" t="s">
        <v>1501</v>
      </c>
      <c r="N547" s="23">
        <v>1998</v>
      </c>
      <c r="O547" s="23"/>
      <c r="P547" s="23">
        <v>1145</v>
      </c>
      <c r="Q547" s="24"/>
    </row>
    <row r="548" spans="11:17" x14ac:dyDescent="0.3">
      <c r="K548" s="85" t="s">
        <v>1510</v>
      </c>
      <c r="L548" s="23" t="s">
        <v>360</v>
      </c>
      <c r="M548" s="23" t="s">
        <v>1502</v>
      </c>
      <c r="N548" s="23">
        <v>1998</v>
      </c>
      <c r="O548" s="23"/>
      <c r="P548" s="23">
        <v>724</v>
      </c>
      <c r="Q548" s="24"/>
    </row>
    <row r="549" spans="11:17" x14ac:dyDescent="0.3">
      <c r="K549" s="85" t="s">
        <v>1510</v>
      </c>
      <c r="L549" s="23" t="s">
        <v>360</v>
      </c>
      <c r="M549" s="23" t="s">
        <v>1503</v>
      </c>
      <c r="N549" s="23">
        <v>1998</v>
      </c>
      <c r="O549" s="23"/>
      <c r="P549" s="23">
        <v>472</v>
      </c>
      <c r="Q549" s="24"/>
    </row>
    <row r="550" spans="11:17" x14ac:dyDescent="0.3">
      <c r="K550" s="85" t="s">
        <v>1510</v>
      </c>
      <c r="L550" s="23" t="s">
        <v>360</v>
      </c>
      <c r="M550" s="23" t="s">
        <v>1504</v>
      </c>
      <c r="N550" s="23">
        <v>1998</v>
      </c>
      <c r="O550" s="23"/>
      <c r="P550" s="23">
        <v>189</v>
      </c>
      <c r="Q550" s="24"/>
    </row>
    <row r="551" spans="11:17" x14ac:dyDescent="0.3">
      <c r="K551" s="85" t="s">
        <v>1510</v>
      </c>
      <c r="L551" s="23" t="s">
        <v>360</v>
      </c>
      <c r="M551" s="23" t="s">
        <v>1505</v>
      </c>
      <c r="N551" s="23">
        <v>1998</v>
      </c>
      <c r="O551" s="23"/>
      <c r="P551" s="23">
        <v>51</v>
      </c>
      <c r="Q551" s="24"/>
    </row>
    <row r="552" spans="11:17" x14ac:dyDescent="0.3">
      <c r="K552" s="85" t="s">
        <v>1510</v>
      </c>
      <c r="L552" s="23" t="s">
        <v>360</v>
      </c>
      <c r="M552" s="23" t="s">
        <v>1506</v>
      </c>
      <c r="N552" s="23">
        <v>1998</v>
      </c>
      <c r="O552" s="23">
        <v>312</v>
      </c>
      <c r="P552" s="23">
        <v>105</v>
      </c>
      <c r="Q552" s="24"/>
    </row>
    <row r="553" spans="11:17" x14ac:dyDescent="0.3">
      <c r="K553" s="85" t="s">
        <v>1510</v>
      </c>
      <c r="L553" s="23" t="s">
        <v>360</v>
      </c>
      <c r="M553" s="23" t="s">
        <v>1507</v>
      </c>
      <c r="N553" s="23">
        <v>1998</v>
      </c>
      <c r="O553" s="23">
        <v>319</v>
      </c>
      <c r="P553" s="23">
        <v>366</v>
      </c>
      <c r="Q553" s="24"/>
    </row>
    <row r="554" spans="11:17" x14ac:dyDescent="0.3">
      <c r="K554" s="85" t="s">
        <v>1510</v>
      </c>
      <c r="L554" s="23" t="s">
        <v>360</v>
      </c>
      <c r="M554" s="23" t="s">
        <v>1508</v>
      </c>
      <c r="N554" s="23">
        <v>1998</v>
      </c>
      <c r="O554" s="23">
        <v>351</v>
      </c>
      <c r="P554" s="23">
        <v>96</v>
      </c>
      <c r="Q554" s="24"/>
    </row>
    <row r="555" spans="11:17" x14ac:dyDescent="0.3">
      <c r="K555" s="85" t="s">
        <v>1510</v>
      </c>
      <c r="L555" s="23" t="s">
        <v>360</v>
      </c>
      <c r="M555" s="23" t="s">
        <v>1509</v>
      </c>
      <c r="N555" s="23">
        <v>1998</v>
      </c>
      <c r="O555" s="23">
        <v>280</v>
      </c>
      <c r="P555" s="23">
        <v>426</v>
      </c>
      <c r="Q555" s="24"/>
    </row>
    <row r="556" spans="11:17" x14ac:dyDescent="0.3">
      <c r="K556" s="85" t="s">
        <v>1500</v>
      </c>
      <c r="L556" s="23" t="s">
        <v>1519</v>
      </c>
      <c r="M556" s="23" t="s">
        <v>1501</v>
      </c>
      <c r="N556" s="23">
        <v>2000</v>
      </c>
      <c r="O556" s="23"/>
      <c r="P556" s="23">
        <v>5491</v>
      </c>
      <c r="Q556" s="24"/>
    </row>
    <row r="557" spans="11:17" x14ac:dyDescent="0.3">
      <c r="K557" s="85" t="s">
        <v>1500</v>
      </c>
      <c r="L557" s="23" t="s">
        <v>1519</v>
      </c>
      <c r="M557" s="23" t="s">
        <v>1502</v>
      </c>
      <c r="N557" s="23">
        <v>2000</v>
      </c>
      <c r="O557" s="23"/>
      <c r="P557" s="23">
        <v>3152</v>
      </c>
      <c r="Q557" s="24"/>
    </row>
    <row r="558" spans="11:17" x14ac:dyDescent="0.3">
      <c r="K558" s="85" t="s">
        <v>1500</v>
      </c>
      <c r="L558" s="23" t="s">
        <v>1519</v>
      </c>
      <c r="M558" s="23" t="s">
        <v>1503</v>
      </c>
      <c r="N558" s="23">
        <v>2000</v>
      </c>
      <c r="O558" s="23"/>
      <c r="P558" s="23">
        <v>2827</v>
      </c>
      <c r="Q558" s="24"/>
    </row>
    <row r="559" spans="11:17" x14ac:dyDescent="0.3">
      <c r="K559" s="85" t="s">
        <v>1500</v>
      </c>
      <c r="L559" s="23" t="s">
        <v>1519</v>
      </c>
      <c r="M559" s="23" t="s">
        <v>1504</v>
      </c>
      <c r="N559" s="23">
        <v>2000</v>
      </c>
      <c r="O559" s="23"/>
      <c r="P559" s="23">
        <v>2175</v>
      </c>
      <c r="Q559" s="24"/>
    </row>
    <row r="560" spans="11:17" x14ac:dyDescent="0.3">
      <c r="K560" s="85" t="s">
        <v>1500</v>
      </c>
      <c r="L560" s="23" t="s">
        <v>1519</v>
      </c>
      <c r="M560" s="23" t="s">
        <v>1505</v>
      </c>
      <c r="N560" s="23">
        <v>2000</v>
      </c>
      <c r="O560" s="23"/>
      <c r="P560" s="23">
        <v>-1850</v>
      </c>
      <c r="Q560" s="24"/>
    </row>
    <row r="561" spans="11:17" x14ac:dyDescent="0.3">
      <c r="K561" s="85" t="s">
        <v>1500</v>
      </c>
      <c r="L561" s="23" t="s">
        <v>1519</v>
      </c>
      <c r="M561" s="23" t="s">
        <v>1506</v>
      </c>
      <c r="N561" s="23">
        <v>2000</v>
      </c>
      <c r="O561" s="23">
        <v>131</v>
      </c>
      <c r="P561" s="23">
        <v>86</v>
      </c>
      <c r="Q561" s="24"/>
    </row>
    <row r="562" spans="11:17" x14ac:dyDescent="0.3">
      <c r="K562" s="85" t="s">
        <v>1500</v>
      </c>
      <c r="L562" s="23" t="s">
        <v>1519</v>
      </c>
      <c r="M562" s="23" t="s">
        <v>1507</v>
      </c>
      <c r="N562" s="23">
        <v>2000</v>
      </c>
      <c r="O562" s="23">
        <v>138</v>
      </c>
      <c r="P562" s="23">
        <v>128</v>
      </c>
      <c r="Q562" s="24"/>
    </row>
    <row r="563" spans="11:17" x14ac:dyDescent="0.3">
      <c r="K563" s="85" t="s">
        <v>1500</v>
      </c>
      <c r="L563" s="23" t="s">
        <v>1519</v>
      </c>
      <c r="M563" s="23" t="s">
        <v>1508</v>
      </c>
      <c r="N563" s="23">
        <v>2000</v>
      </c>
      <c r="O563" s="23">
        <v>170</v>
      </c>
      <c r="P563" s="23">
        <v>144</v>
      </c>
      <c r="Q563" s="24"/>
    </row>
    <row r="564" spans="11:17" x14ac:dyDescent="0.3">
      <c r="K564" s="85" t="s">
        <v>1500</v>
      </c>
      <c r="L564" s="23" t="s">
        <v>1519</v>
      </c>
      <c r="M564" s="23" t="s">
        <v>1509</v>
      </c>
      <c r="N564" s="23">
        <v>2000</v>
      </c>
      <c r="O564" s="23">
        <v>99</v>
      </c>
      <c r="P564" s="23">
        <v>70</v>
      </c>
      <c r="Q564" s="24"/>
    </row>
    <row r="565" spans="11:17" x14ac:dyDescent="0.3">
      <c r="K565" s="85" t="s">
        <v>1510</v>
      </c>
      <c r="L565" s="23" t="s">
        <v>1519</v>
      </c>
      <c r="M565" s="23" t="s">
        <v>1501</v>
      </c>
      <c r="N565" s="23">
        <v>2000</v>
      </c>
      <c r="O565" s="23"/>
      <c r="P565" s="23">
        <v>6783</v>
      </c>
      <c r="Q565" s="24"/>
    </row>
    <row r="566" spans="11:17" x14ac:dyDescent="0.3">
      <c r="K566" s="85" t="s">
        <v>1510</v>
      </c>
      <c r="L566" s="23" t="s">
        <v>1519</v>
      </c>
      <c r="M566" s="23" t="s">
        <v>1502</v>
      </c>
      <c r="N566" s="23">
        <v>2000</v>
      </c>
      <c r="O566" s="23"/>
      <c r="P566" s="23">
        <v>2865</v>
      </c>
      <c r="Q566" s="24"/>
    </row>
    <row r="567" spans="11:17" x14ac:dyDescent="0.3">
      <c r="K567" s="85" t="s">
        <v>1510</v>
      </c>
      <c r="L567" s="23" t="s">
        <v>1519</v>
      </c>
      <c r="M567" s="23" t="s">
        <v>1503</v>
      </c>
      <c r="N567" s="23">
        <v>2000</v>
      </c>
      <c r="O567" s="23"/>
      <c r="P567" s="23">
        <v>982</v>
      </c>
      <c r="Q567" s="24"/>
    </row>
    <row r="568" spans="11:17" x14ac:dyDescent="0.3">
      <c r="K568" s="85" t="s">
        <v>1510</v>
      </c>
      <c r="L568" s="23" t="s">
        <v>1519</v>
      </c>
      <c r="M568" s="23" t="s">
        <v>1504</v>
      </c>
      <c r="N568" s="23">
        <v>2000</v>
      </c>
      <c r="O568" s="23"/>
      <c r="P568" s="23">
        <v>183</v>
      </c>
      <c r="Q568" s="24"/>
    </row>
    <row r="569" spans="11:17" x14ac:dyDescent="0.3">
      <c r="K569" s="85" t="s">
        <v>1510</v>
      </c>
      <c r="L569" s="23" t="s">
        <v>1519</v>
      </c>
      <c r="M569" s="23" t="s">
        <v>1505</v>
      </c>
      <c r="N569" s="23">
        <v>2000</v>
      </c>
      <c r="O569" s="23"/>
      <c r="P569" s="23">
        <v>1700</v>
      </c>
      <c r="Q569" s="24"/>
    </row>
    <row r="570" spans="11:17" x14ac:dyDescent="0.3">
      <c r="K570" s="85" t="s">
        <v>1510</v>
      </c>
      <c r="L570" s="23" t="s">
        <v>1519</v>
      </c>
      <c r="M570" s="23" t="s">
        <v>1506</v>
      </c>
      <c r="N570" s="23">
        <v>2000</v>
      </c>
      <c r="O570" s="23">
        <v>132</v>
      </c>
      <c r="P570" s="23">
        <v>103</v>
      </c>
      <c r="Q570" s="24"/>
    </row>
    <row r="571" spans="11:17" x14ac:dyDescent="0.3">
      <c r="K571" s="85" t="s">
        <v>1510</v>
      </c>
      <c r="L571" s="23" t="s">
        <v>1519</v>
      </c>
      <c r="M571" s="23" t="s">
        <v>1507</v>
      </c>
      <c r="N571" s="23">
        <v>2000</v>
      </c>
      <c r="O571" s="23">
        <v>139</v>
      </c>
      <c r="P571" s="23">
        <v>141</v>
      </c>
      <c r="Q571" s="24"/>
    </row>
    <row r="572" spans="11:17" x14ac:dyDescent="0.3">
      <c r="K572" s="85" t="s">
        <v>1510</v>
      </c>
      <c r="L572" s="23" t="s">
        <v>1519</v>
      </c>
      <c r="M572" s="23" t="s">
        <v>1508</v>
      </c>
      <c r="N572" s="23">
        <v>2000</v>
      </c>
      <c r="O572" s="23">
        <v>171</v>
      </c>
      <c r="P572" s="23">
        <v>114</v>
      </c>
      <c r="Q572" s="24"/>
    </row>
    <row r="573" spans="11:17" x14ac:dyDescent="0.3">
      <c r="K573" s="85" t="s">
        <v>1510</v>
      </c>
      <c r="L573" s="23" t="s">
        <v>1519</v>
      </c>
      <c r="M573" s="23" t="s">
        <v>1509</v>
      </c>
      <c r="N573" s="23">
        <v>2000</v>
      </c>
      <c r="O573" s="23">
        <v>100</v>
      </c>
      <c r="P573" s="23">
        <v>130</v>
      </c>
      <c r="Q573" s="24"/>
    </row>
    <row r="574" spans="11:17" x14ac:dyDescent="0.3">
      <c r="K574" s="85" t="s">
        <v>1500</v>
      </c>
      <c r="L574" s="23" t="s">
        <v>1519</v>
      </c>
      <c r="M574" s="23" t="s">
        <v>1501</v>
      </c>
      <c r="N574" s="23">
        <v>1999</v>
      </c>
      <c r="O574" s="23"/>
      <c r="P574" s="23">
        <v>3299</v>
      </c>
      <c r="Q574" s="24"/>
    </row>
    <row r="575" spans="11:17" x14ac:dyDescent="0.3">
      <c r="K575" s="85" t="s">
        <v>1500</v>
      </c>
      <c r="L575" s="23" t="s">
        <v>1519</v>
      </c>
      <c r="M575" s="23" t="s">
        <v>1502</v>
      </c>
      <c r="N575" s="23">
        <v>1999</v>
      </c>
      <c r="O575" s="23"/>
      <c r="P575" s="23">
        <v>2229</v>
      </c>
      <c r="Q575" s="24"/>
    </row>
    <row r="576" spans="11:17" x14ac:dyDescent="0.3">
      <c r="K576" s="85" t="s">
        <v>1500</v>
      </c>
      <c r="L576" s="23" t="s">
        <v>1519</v>
      </c>
      <c r="M576" s="23" t="s">
        <v>1503</v>
      </c>
      <c r="N576" s="23">
        <v>1999</v>
      </c>
      <c r="O576" s="23"/>
      <c r="P576" s="23">
        <v>1012</v>
      </c>
      <c r="Q576" s="24"/>
    </row>
    <row r="577" spans="11:17" x14ac:dyDescent="0.3">
      <c r="K577" s="85" t="s">
        <v>1500</v>
      </c>
      <c r="L577" s="23" t="s">
        <v>1519</v>
      </c>
      <c r="M577" s="23" t="s">
        <v>1504</v>
      </c>
      <c r="N577" s="23">
        <v>1999</v>
      </c>
      <c r="O577" s="23"/>
      <c r="P577" s="23">
        <v>178</v>
      </c>
      <c r="Q577" s="24"/>
    </row>
    <row r="578" spans="11:17" x14ac:dyDescent="0.3">
      <c r="K578" s="85" t="s">
        <v>1500</v>
      </c>
      <c r="L578" s="23" t="s">
        <v>1519</v>
      </c>
      <c r="M578" s="23" t="s">
        <v>1505</v>
      </c>
      <c r="N578" s="23">
        <v>1999</v>
      </c>
      <c r="O578" s="23"/>
      <c r="P578" s="23">
        <v>1039</v>
      </c>
      <c r="Q578" s="24"/>
    </row>
    <row r="579" spans="11:17" x14ac:dyDescent="0.3">
      <c r="K579" s="85" t="s">
        <v>1500</v>
      </c>
      <c r="L579" s="23" t="s">
        <v>1519</v>
      </c>
      <c r="M579" s="23" t="s">
        <v>1506</v>
      </c>
      <c r="N579" s="23">
        <v>1999</v>
      </c>
      <c r="O579" s="23">
        <v>189</v>
      </c>
      <c r="P579" s="23">
        <v>103</v>
      </c>
      <c r="Q579" s="24"/>
    </row>
    <row r="580" spans="11:17" x14ac:dyDescent="0.3">
      <c r="K580" s="85" t="s">
        <v>1500</v>
      </c>
      <c r="L580" s="23" t="s">
        <v>1519</v>
      </c>
      <c r="M580" s="23" t="s">
        <v>1507</v>
      </c>
      <c r="N580" s="23">
        <v>1999</v>
      </c>
      <c r="O580" s="23">
        <v>196</v>
      </c>
      <c r="P580" s="23">
        <v>114</v>
      </c>
      <c r="Q580" s="24"/>
    </row>
    <row r="581" spans="11:17" x14ac:dyDescent="0.3">
      <c r="K581" s="85" t="s">
        <v>1500</v>
      </c>
      <c r="L581" s="23" t="s">
        <v>1519</v>
      </c>
      <c r="M581" s="23" t="s">
        <v>1508</v>
      </c>
      <c r="N581" s="23">
        <v>1999</v>
      </c>
      <c r="O581" s="23">
        <v>228</v>
      </c>
      <c r="P581" s="23">
        <v>53</v>
      </c>
      <c r="Q581" s="24"/>
    </row>
    <row r="582" spans="11:17" x14ac:dyDescent="0.3">
      <c r="K582" s="85" t="s">
        <v>1500</v>
      </c>
      <c r="L582" s="23" t="s">
        <v>1519</v>
      </c>
      <c r="M582" s="23" t="s">
        <v>1509</v>
      </c>
      <c r="N582" s="23">
        <v>1999</v>
      </c>
      <c r="O582" s="23">
        <v>157</v>
      </c>
      <c r="P582" s="23">
        <v>164</v>
      </c>
      <c r="Q582" s="24"/>
    </row>
    <row r="583" spans="11:17" x14ac:dyDescent="0.3">
      <c r="K583" s="85" t="s">
        <v>1510</v>
      </c>
      <c r="L583" s="23" t="s">
        <v>1519</v>
      </c>
      <c r="M583" s="23" t="s">
        <v>1501</v>
      </c>
      <c r="N583" s="23">
        <v>1999</v>
      </c>
      <c r="O583" s="23"/>
      <c r="P583" s="23">
        <v>6708</v>
      </c>
      <c r="Q583" s="24"/>
    </row>
    <row r="584" spans="11:17" x14ac:dyDescent="0.3">
      <c r="K584" s="85" t="s">
        <v>1510</v>
      </c>
      <c r="L584" s="23" t="s">
        <v>1519</v>
      </c>
      <c r="M584" s="23" t="s">
        <v>1502</v>
      </c>
      <c r="N584" s="23">
        <v>1999</v>
      </c>
      <c r="O584" s="23"/>
      <c r="P584" s="23">
        <v>3415</v>
      </c>
      <c r="Q584" s="24"/>
    </row>
    <row r="585" spans="11:17" x14ac:dyDescent="0.3">
      <c r="K585" s="85" t="s">
        <v>1510</v>
      </c>
      <c r="L585" s="23" t="s">
        <v>1519</v>
      </c>
      <c r="M585" s="23" t="s">
        <v>1503</v>
      </c>
      <c r="N585" s="23">
        <v>1999</v>
      </c>
      <c r="O585" s="23"/>
      <c r="P585" s="23">
        <v>1609</v>
      </c>
      <c r="Q585" s="24"/>
    </row>
    <row r="586" spans="11:17" x14ac:dyDescent="0.3">
      <c r="K586" s="85" t="s">
        <v>1510</v>
      </c>
      <c r="L586" s="23" t="s">
        <v>1519</v>
      </c>
      <c r="M586" s="23" t="s">
        <v>1504</v>
      </c>
      <c r="N586" s="23">
        <v>1999</v>
      </c>
      <c r="O586" s="23"/>
      <c r="P586" s="23">
        <v>968</v>
      </c>
      <c r="Q586" s="24"/>
    </row>
    <row r="587" spans="11:17" x14ac:dyDescent="0.3">
      <c r="K587" s="85" t="s">
        <v>1510</v>
      </c>
      <c r="L587" s="23" t="s">
        <v>1519</v>
      </c>
      <c r="M587" s="23" t="s">
        <v>1505</v>
      </c>
      <c r="N587" s="23">
        <v>1999</v>
      </c>
      <c r="O587" s="23"/>
      <c r="P587" s="23">
        <v>838</v>
      </c>
      <c r="Q587" s="24"/>
    </row>
    <row r="588" spans="11:17" x14ac:dyDescent="0.3">
      <c r="K588" s="85" t="s">
        <v>1510</v>
      </c>
      <c r="L588" s="23" t="s">
        <v>1519</v>
      </c>
      <c r="M588" s="23" t="s">
        <v>1506</v>
      </c>
      <c r="N588" s="23">
        <v>1999</v>
      </c>
      <c r="O588" s="23">
        <v>190</v>
      </c>
      <c r="P588" s="23">
        <v>101</v>
      </c>
      <c r="Q588" s="24"/>
    </row>
    <row r="589" spans="11:17" x14ac:dyDescent="0.3">
      <c r="K589" s="85" t="s">
        <v>1510</v>
      </c>
      <c r="L589" s="23" t="s">
        <v>1519</v>
      </c>
      <c r="M589" s="23" t="s">
        <v>1507</v>
      </c>
      <c r="N589" s="23">
        <v>1999</v>
      </c>
      <c r="O589" s="23">
        <v>197</v>
      </c>
      <c r="P589" s="23">
        <v>234</v>
      </c>
      <c r="Q589" s="24"/>
    </row>
    <row r="590" spans="11:17" x14ac:dyDescent="0.3">
      <c r="K590" s="85" t="s">
        <v>1510</v>
      </c>
      <c r="L590" s="23" t="s">
        <v>1519</v>
      </c>
      <c r="M590" s="23" t="s">
        <v>1508</v>
      </c>
      <c r="N590" s="23">
        <v>1999</v>
      </c>
      <c r="O590" s="23">
        <v>229</v>
      </c>
      <c r="P590" s="23">
        <v>108</v>
      </c>
      <c r="Q590" s="24"/>
    </row>
    <row r="591" spans="11:17" x14ac:dyDescent="0.3">
      <c r="K591" s="85" t="s">
        <v>1510</v>
      </c>
      <c r="L591" s="23" t="s">
        <v>1519</v>
      </c>
      <c r="M591" s="23" t="s">
        <v>1509</v>
      </c>
      <c r="N591" s="23">
        <v>1999</v>
      </c>
      <c r="O591" s="23">
        <v>158</v>
      </c>
      <c r="P591" s="23">
        <v>227</v>
      </c>
      <c r="Q591" s="24"/>
    </row>
    <row r="592" spans="11:17" x14ac:dyDescent="0.3">
      <c r="K592" s="85" t="s">
        <v>1500</v>
      </c>
      <c r="L592" s="23" t="s">
        <v>1519</v>
      </c>
      <c r="M592" s="23" t="s">
        <v>1501</v>
      </c>
      <c r="N592" s="23">
        <v>1998</v>
      </c>
      <c r="O592" s="23"/>
      <c r="P592" s="23">
        <v>3573</v>
      </c>
      <c r="Q592" s="24"/>
    </row>
    <row r="593" spans="11:17" x14ac:dyDescent="0.3">
      <c r="K593" s="85" t="s">
        <v>1500</v>
      </c>
      <c r="L593" s="23" t="s">
        <v>1519</v>
      </c>
      <c r="M593" s="23" t="s">
        <v>1502</v>
      </c>
      <c r="N593" s="23">
        <v>1998</v>
      </c>
      <c r="O593" s="23"/>
      <c r="P593" s="23">
        <v>967</v>
      </c>
      <c r="Q593" s="24"/>
    </row>
    <row r="594" spans="11:17" x14ac:dyDescent="0.3">
      <c r="K594" s="85" t="s">
        <v>1500</v>
      </c>
      <c r="L594" s="23" t="s">
        <v>1519</v>
      </c>
      <c r="M594" s="23" t="s">
        <v>1503</v>
      </c>
      <c r="N594" s="23">
        <v>1998</v>
      </c>
      <c r="O594" s="23"/>
      <c r="P594" s="23">
        <v>616</v>
      </c>
      <c r="Q594" s="24"/>
    </row>
    <row r="595" spans="11:17" x14ac:dyDescent="0.3">
      <c r="K595" s="85" t="s">
        <v>1500</v>
      </c>
      <c r="L595" s="23" t="s">
        <v>1519</v>
      </c>
      <c r="M595" s="23" t="s">
        <v>1504</v>
      </c>
      <c r="N595" s="23">
        <v>1998</v>
      </c>
      <c r="O595" s="23"/>
      <c r="P595" s="23">
        <v>438</v>
      </c>
      <c r="Q595" s="24"/>
    </row>
    <row r="596" spans="11:17" x14ac:dyDescent="0.3">
      <c r="K596" s="85" t="s">
        <v>1500</v>
      </c>
      <c r="L596" s="23" t="s">
        <v>1519</v>
      </c>
      <c r="M596" s="23" t="s">
        <v>1505</v>
      </c>
      <c r="N596" s="23">
        <v>1998</v>
      </c>
      <c r="O596" s="23"/>
      <c r="P596" s="23">
        <v>-87</v>
      </c>
      <c r="Q596" s="24"/>
    </row>
    <row r="597" spans="11:17" x14ac:dyDescent="0.3">
      <c r="K597" s="85" t="s">
        <v>1500</v>
      </c>
      <c r="L597" s="23" t="s">
        <v>1519</v>
      </c>
      <c r="M597" s="23" t="s">
        <v>1506</v>
      </c>
      <c r="N597" s="23">
        <v>1998</v>
      </c>
      <c r="O597" s="23">
        <v>247</v>
      </c>
      <c r="P597" s="23">
        <v>100</v>
      </c>
      <c r="Q597" s="24"/>
    </row>
    <row r="598" spans="11:17" x14ac:dyDescent="0.3">
      <c r="K598" s="85" t="s">
        <v>1500</v>
      </c>
      <c r="L598" s="23" t="s">
        <v>1519</v>
      </c>
      <c r="M598" s="23" t="s">
        <v>1507</v>
      </c>
      <c r="N598" s="23">
        <v>1998</v>
      </c>
      <c r="O598" s="23">
        <v>254</v>
      </c>
      <c r="P598" s="23">
        <v>471</v>
      </c>
      <c r="Q598" s="24"/>
    </row>
    <row r="599" spans="11:17" x14ac:dyDescent="0.3">
      <c r="K599" s="85" t="s">
        <v>1500</v>
      </c>
      <c r="L599" s="23" t="s">
        <v>1519</v>
      </c>
      <c r="M599" s="23" t="s">
        <v>1508</v>
      </c>
      <c r="N599" s="23">
        <v>1998</v>
      </c>
      <c r="O599" s="23">
        <v>286</v>
      </c>
      <c r="P599" s="23">
        <v>236</v>
      </c>
      <c r="Q599" s="24"/>
    </row>
    <row r="600" spans="11:17" x14ac:dyDescent="0.3">
      <c r="K600" s="85" t="s">
        <v>1500</v>
      </c>
      <c r="L600" s="23" t="s">
        <v>1519</v>
      </c>
      <c r="M600" s="23" t="s">
        <v>1509</v>
      </c>
      <c r="N600" s="23">
        <v>1998</v>
      </c>
      <c r="O600" s="23">
        <v>215</v>
      </c>
      <c r="P600" s="23">
        <v>335</v>
      </c>
      <c r="Q600" s="24"/>
    </row>
    <row r="601" spans="11:17" x14ac:dyDescent="0.3">
      <c r="K601" s="85" t="s">
        <v>1510</v>
      </c>
      <c r="L601" s="23" t="s">
        <v>1519</v>
      </c>
      <c r="M601" s="23" t="s">
        <v>1501</v>
      </c>
      <c r="N601" s="23">
        <v>1998</v>
      </c>
      <c r="O601" s="23"/>
      <c r="P601" s="23">
        <v>4291</v>
      </c>
      <c r="Q601" s="24"/>
    </row>
    <row r="602" spans="11:17" x14ac:dyDescent="0.3">
      <c r="K602" s="85" t="s">
        <v>1510</v>
      </c>
      <c r="L602" s="23" t="s">
        <v>1519</v>
      </c>
      <c r="M602" s="23" t="s">
        <v>1502</v>
      </c>
      <c r="N602" s="23">
        <v>1998</v>
      </c>
      <c r="O602" s="23"/>
      <c r="P602" s="23">
        <v>2232</v>
      </c>
      <c r="Q602" s="24"/>
    </row>
    <row r="603" spans="11:17" x14ac:dyDescent="0.3">
      <c r="K603" s="85" t="s">
        <v>1510</v>
      </c>
      <c r="L603" s="23" t="s">
        <v>1519</v>
      </c>
      <c r="M603" s="23" t="s">
        <v>1503</v>
      </c>
      <c r="N603" s="23">
        <v>1998</v>
      </c>
      <c r="O603" s="23"/>
      <c r="P603" s="23">
        <v>828</v>
      </c>
      <c r="Q603" s="24"/>
    </row>
    <row r="604" spans="11:17" x14ac:dyDescent="0.3">
      <c r="K604" s="85" t="s">
        <v>1510</v>
      </c>
      <c r="L604" s="23" t="s">
        <v>1519</v>
      </c>
      <c r="M604" s="23" t="s">
        <v>1504</v>
      </c>
      <c r="N604" s="23">
        <v>1998</v>
      </c>
      <c r="O604" s="23"/>
      <c r="P604" s="23">
        <v>392</v>
      </c>
      <c r="Q604" s="24"/>
    </row>
    <row r="605" spans="11:17" x14ac:dyDescent="0.3">
      <c r="K605" s="85" t="s">
        <v>1510</v>
      </c>
      <c r="L605" s="23" t="s">
        <v>1519</v>
      </c>
      <c r="M605" s="23" t="s">
        <v>1505</v>
      </c>
      <c r="N605" s="23">
        <v>1998</v>
      </c>
      <c r="O605" s="23"/>
      <c r="P605" s="23">
        <v>1012</v>
      </c>
      <c r="Q605" s="24"/>
    </row>
    <row r="606" spans="11:17" x14ac:dyDescent="0.3">
      <c r="K606" s="85" t="s">
        <v>1510</v>
      </c>
      <c r="L606" s="23" t="s">
        <v>1519</v>
      </c>
      <c r="M606" s="23" t="s">
        <v>1506</v>
      </c>
      <c r="N606" s="23">
        <v>1998</v>
      </c>
      <c r="O606" s="23">
        <v>248</v>
      </c>
      <c r="P606" s="23">
        <v>336</v>
      </c>
      <c r="Q606" s="24"/>
    </row>
    <row r="607" spans="11:17" x14ac:dyDescent="0.3">
      <c r="K607" s="85" t="s">
        <v>1510</v>
      </c>
      <c r="L607" s="23" t="s">
        <v>1519</v>
      </c>
      <c r="M607" s="23" t="s">
        <v>1507</v>
      </c>
      <c r="N607" s="23">
        <v>1998</v>
      </c>
      <c r="O607" s="23">
        <v>255</v>
      </c>
      <c r="P607" s="23">
        <v>507</v>
      </c>
      <c r="Q607" s="24"/>
    </row>
    <row r="608" spans="11:17" x14ac:dyDescent="0.3">
      <c r="K608" s="85" t="s">
        <v>1510</v>
      </c>
      <c r="L608" s="23" t="s">
        <v>1519</v>
      </c>
      <c r="M608" s="23" t="s">
        <v>1508</v>
      </c>
      <c r="N608" s="23">
        <v>1998</v>
      </c>
      <c r="O608" s="23">
        <v>287</v>
      </c>
      <c r="P608" s="23">
        <v>413</v>
      </c>
      <c r="Q608" s="24"/>
    </row>
    <row r="609" spans="11:17" x14ac:dyDescent="0.3">
      <c r="K609" s="85" t="s">
        <v>1510</v>
      </c>
      <c r="L609" s="23" t="s">
        <v>1519</v>
      </c>
      <c r="M609" s="23" t="s">
        <v>1509</v>
      </c>
      <c r="N609" s="23">
        <v>1998</v>
      </c>
      <c r="O609" s="23">
        <v>216</v>
      </c>
      <c r="P609" s="23">
        <v>430</v>
      </c>
      <c r="Q609" s="24"/>
    </row>
    <row r="610" spans="11:17" x14ac:dyDescent="0.3">
      <c r="K610" s="85" t="s">
        <v>1500</v>
      </c>
      <c r="L610" s="23" t="s">
        <v>1520</v>
      </c>
      <c r="M610" s="23" t="s">
        <v>1501</v>
      </c>
      <c r="N610" s="23">
        <v>2000</v>
      </c>
      <c r="O610" s="23"/>
      <c r="P610" s="23">
        <v>4962</v>
      </c>
      <c r="Q610" s="24"/>
    </row>
    <row r="611" spans="11:17" x14ac:dyDescent="0.3">
      <c r="K611" s="85" t="s">
        <v>1500</v>
      </c>
      <c r="L611" s="23" t="s">
        <v>1520</v>
      </c>
      <c r="M611" s="23" t="s">
        <v>1502</v>
      </c>
      <c r="N611" s="23">
        <v>2000</v>
      </c>
      <c r="O611" s="23"/>
      <c r="P611" s="23">
        <v>1209</v>
      </c>
      <c r="Q611" s="24"/>
    </row>
    <row r="612" spans="11:17" x14ac:dyDescent="0.3">
      <c r="K612" s="85" t="s">
        <v>1500</v>
      </c>
      <c r="L612" s="23" t="s">
        <v>1520</v>
      </c>
      <c r="M612" s="23" t="s">
        <v>1503</v>
      </c>
      <c r="N612" s="23">
        <v>2000</v>
      </c>
      <c r="O612" s="23"/>
      <c r="P612" s="23">
        <v>397</v>
      </c>
      <c r="Q612" s="24"/>
    </row>
    <row r="613" spans="11:17" x14ac:dyDescent="0.3">
      <c r="K613" s="85" t="s">
        <v>1500</v>
      </c>
      <c r="L613" s="23" t="s">
        <v>1520</v>
      </c>
      <c r="M613" s="23" t="s">
        <v>1504</v>
      </c>
      <c r="N613" s="23">
        <v>2000</v>
      </c>
      <c r="O613" s="23"/>
      <c r="P613" s="23">
        <v>308</v>
      </c>
      <c r="Q613" s="24"/>
    </row>
    <row r="614" spans="11:17" x14ac:dyDescent="0.3">
      <c r="K614" s="85" t="s">
        <v>1500</v>
      </c>
      <c r="L614" s="23" t="s">
        <v>1520</v>
      </c>
      <c r="M614" s="23" t="s">
        <v>1505</v>
      </c>
      <c r="N614" s="23">
        <v>2000</v>
      </c>
      <c r="O614" s="23"/>
      <c r="P614" s="23">
        <v>504</v>
      </c>
      <c r="Q614" s="24"/>
    </row>
    <row r="615" spans="11:17" x14ac:dyDescent="0.3">
      <c r="K615" s="85" t="s">
        <v>1500</v>
      </c>
      <c r="L615" s="23" t="s">
        <v>1520</v>
      </c>
      <c r="M615" s="23" t="s">
        <v>1506</v>
      </c>
      <c r="N615" s="23">
        <v>2000</v>
      </c>
      <c r="O615" s="23">
        <v>119</v>
      </c>
      <c r="P615" s="23">
        <v>83</v>
      </c>
      <c r="Q615" s="24"/>
    </row>
    <row r="616" spans="11:17" x14ac:dyDescent="0.3">
      <c r="K616" s="85" t="s">
        <v>1500</v>
      </c>
      <c r="L616" s="23" t="s">
        <v>1520</v>
      </c>
      <c r="M616" s="23" t="s">
        <v>1507</v>
      </c>
      <c r="N616" s="23">
        <v>2000</v>
      </c>
      <c r="O616" s="23">
        <v>126</v>
      </c>
      <c r="P616" s="23">
        <v>139</v>
      </c>
      <c r="Q616" s="24"/>
    </row>
    <row r="617" spans="11:17" x14ac:dyDescent="0.3">
      <c r="K617" s="85" t="s">
        <v>1500</v>
      </c>
      <c r="L617" s="23" t="s">
        <v>1520</v>
      </c>
      <c r="M617" s="23" t="s">
        <v>1508</v>
      </c>
      <c r="N617" s="23">
        <v>2000</v>
      </c>
      <c r="O617" s="23">
        <v>158</v>
      </c>
      <c r="P617" s="23">
        <v>131</v>
      </c>
      <c r="Q617" s="24"/>
    </row>
    <row r="618" spans="11:17" x14ac:dyDescent="0.3">
      <c r="K618" s="85" t="s">
        <v>1500</v>
      </c>
      <c r="L618" s="23" t="s">
        <v>1520</v>
      </c>
      <c r="M618" s="23" t="s">
        <v>1509</v>
      </c>
      <c r="N618" s="23">
        <v>2000</v>
      </c>
      <c r="O618" s="23">
        <v>87</v>
      </c>
      <c r="P618" s="23">
        <v>91</v>
      </c>
      <c r="Q618" s="24"/>
    </row>
    <row r="619" spans="11:17" x14ac:dyDescent="0.3">
      <c r="K619" s="85" t="s">
        <v>1510</v>
      </c>
      <c r="L619" s="23" t="s">
        <v>1520</v>
      </c>
      <c r="M619" s="23" t="s">
        <v>1501</v>
      </c>
      <c r="N619" s="23">
        <v>2000</v>
      </c>
      <c r="O619" s="23"/>
      <c r="P619" s="23">
        <v>5926</v>
      </c>
      <c r="Q619" s="24"/>
    </row>
    <row r="620" spans="11:17" x14ac:dyDescent="0.3">
      <c r="K620" s="85" t="s">
        <v>1510</v>
      </c>
      <c r="L620" s="23" t="s">
        <v>1520</v>
      </c>
      <c r="M620" s="23" t="s">
        <v>1502</v>
      </c>
      <c r="N620" s="23">
        <v>2000</v>
      </c>
      <c r="O620" s="23"/>
      <c r="P620" s="23">
        <v>4747</v>
      </c>
      <c r="Q620" s="24"/>
    </row>
    <row r="621" spans="11:17" x14ac:dyDescent="0.3">
      <c r="K621" s="85" t="s">
        <v>1510</v>
      </c>
      <c r="L621" s="23" t="s">
        <v>1520</v>
      </c>
      <c r="M621" s="23" t="s">
        <v>1503</v>
      </c>
      <c r="N621" s="23">
        <v>2000</v>
      </c>
      <c r="O621" s="23"/>
      <c r="P621" s="23">
        <v>2214</v>
      </c>
      <c r="Q621" s="24"/>
    </row>
    <row r="622" spans="11:17" x14ac:dyDescent="0.3">
      <c r="K622" s="85" t="s">
        <v>1510</v>
      </c>
      <c r="L622" s="23" t="s">
        <v>1520</v>
      </c>
      <c r="M622" s="23" t="s">
        <v>1504</v>
      </c>
      <c r="N622" s="23">
        <v>2000</v>
      </c>
      <c r="O622" s="23"/>
      <c r="P622" s="23">
        <v>1479</v>
      </c>
      <c r="Q622" s="24"/>
    </row>
    <row r="623" spans="11:17" x14ac:dyDescent="0.3">
      <c r="K623" s="85" t="s">
        <v>1510</v>
      </c>
      <c r="L623" s="23" t="s">
        <v>1520</v>
      </c>
      <c r="M623" s="23" t="s">
        <v>1505</v>
      </c>
      <c r="N623" s="23">
        <v>2000</v>
      </c>
      <c r="O623" s="23"/>
      <c r="P623" s="23">
        <v>1054</v>
      </c>
      <c r="Q623" s="24"/>
    </row>
    <row r="624" spans="11:17" x14ac:dyDescent="0.3">
      <c r="K624" s="85" t="s">
        <v>1510</v>
      </c>
      <c r="L624" s="23" t="s">
        <v>1520</v>
      </c>
      <c r="M624" s="23" t="s">
        <v>1506</v>
      </c>
      <c r="N624" s="23">
        <v>2000</v>
      </c>
      <c r="O624" s="23">
        <v>120</v>
      </c>
      <c r="P624" s="23">
        <v>72</v>
      </c>
      <c r="Q624" s="24"/>
    </row>
    <row r="625" spans="11:17" x14ac:dyDescent="0.3">
      <c r="K625" s="85" t="s">
        <v>1510</v>
      </c>
      <c r="L625" s="23" t="s">
        <v>1520</v>
      </c>
      <c r="M625" s="23" t="s">
        <v>1507</v>
      </c>
      <c r="N625" s="23">
        <v>2000</v>
      </c>
      <c r="O625" s="23">
        <v>127</v>
      </c>
      <c r="P625" s="23">
        <v>156</v>
      </c>
      <c r="Q625" s="24"/>
    </row>
    <row r="626" spans="11:17" x14ac:dyDescent="0.3">
      <c r="K626" s="85" t="s">
        <v>1510</v>
      </c>
      <c r="L626" s="23" t="s">
        <v>1520</v>
      </c>
      <c r="M626" s="23" t="s">
        <v>1508</v>
      </c>
      <c r="N626" s="23">
        <v>2000</v>
      </c>
      <c r="O626" s="23">
        <v>159</v>
      </c>
      <c r="P626" s="23">
        <v>94</v>
      </c>
      <c r="Q626" s="24"/>
    </row>
    <row r="627" spans="11:17" x14ac:dyDescent="0.3">
      <c r="K627" s="85" t="s">
        <v>1510</v>
      </c>
      <c r="L627" s="23" t="s">
        <v>1520</v>
      </c>
      <c r="M627" s="23" t="s">
        <v>1509</v>
      </c>
      <c r="N627" s="23">
        <v>2000</v>
      </c>
      <c r="O627" s="23">
        <v>88</v>
      </c>
      <c r="P627" s="23">
        <v>134</v>
      </c>
      <c r="Q627" s="24"/>
    </row>
    <row r="628" spans="11:17" x14ac:dyDescent="0.3">
      <c r="K628" s="85" t="s">
        <v>1500</v>
      </c>
      <c r="L628" s="23" t="s">
        <v>1520</v>
      </c>
      <c r="M628" s="23" t="s">
        <v>1501</v>
      </c>
      <c r="N628" s="23">
        <v>1999</v>
      </c>
      <c r="O628" s="23"/>
      <c r="P628" s="23">
        <v>3808</v>
      </c>
      <c r="Q628" s="24"/>
    </row>
    <row r="629" spans="11:17" x14ac:dyDescent="0.3">
      <c r="K629" s="85" t="s">
        <v>1500</v>
      </c>
      <c r="L629" s="23" t="s">
        <v>1520</v>
      </c>
      <c r="M629" s="23" t="s">
        <v>1502</v>
      </c>
      <c r="N629" s="23">
        <v>1999</v>
      </c>
      <c r="O629" s="23"/>
      <c r="P629" s="23">
        <v>1070</v>
      </c>
      <c r="Q629" s="24"/>
    </row>
    <row r="630" spans="11:17" x14ac:dyDescent="0.3">
      <c r="K630" s="85" t="s">
        <v>1500</v>
      </c>
      <c r="L630" s="23" t="s">
        <v>1520</v>
      </c>
      <c r="M630" s="23" t="s">
        <v>1503</v>
      </c>
      <c r="N630" s="23">
        <v>1999</v>
      </c>
      <c r="O630" s="23"/>
      <c r="P630" s="23">
        <v>453</v>
      </c>
      <c r="Q630" s="24"/>
    </row>
    <row r="631" spans="11:17" x14ac:dyDescent="0.3">
      <c r="K631" s="85" t="s">
        <v>1500</v>
      </c>
      <c r="L631" s="23" t="s">
        <v>1520</v>
      </c>
      <c r="M631" s="23" t="s">
        <v>1504</v>
      </c>
      <c r="N631" s="23">
        <v>1999</v>
      </c>
      <c r="O631" s="23"/>
      <c r="P631" s="23">
        <v>153</v>
      </c>
      <c r="Q631" s="24"/>
    </row>
    <row r="632" spans="11:17" x14ac:dyDescent="0.3">
      <c r="K632" s="85" t="s">
        <v>1500</v>
      </c>
      <c r="L632" s="23" t="s">
        <v>1520</v>
      </c>
      <c r="M632" s="23" t="s">
        <v>1505</v>
      </c>
      <c r="N632" s="23">
        <v>1999</v>
      </c>
      <c r="O632" s="23"/>
      <c r="P632" s="23">
        <v>464</v>
      </c>
      <c r="Q632" s="24"/>
    </row>
    <row r="633" spans="11:17" x14ac:dyDescent="0.3">
      <c r="K633" s="85" t="s">
        <v>1500</v>
      </c>
      <c r="L633" s="23" t="s">
        <v>1520</v>
      </c>
      <c r="M633" s="23" t="s">
        <v>1506</v>
      </c>
      <c r="N633" s="23">
        <v>1999</v>
      </c>
      <c r="O633" s="23">
        <v>177</v>
      </c>
      <c r="P633" s="23">
        <v>104</v>
      </c>
      <c r="Q633" s="24"/>
    </row>
    <row r="634" spans="11:17" x14ac:dyDescent="0.3">
      <c r="K634" s="85" t="s">
        <v>1500</v>
      </c>
      <c r="L634" s="23" t="s">
        <v>1520</v>
      </c>
      <c r="M634" s="23" t="s">
        <v>1507</v>
      </c>
      <c r="N634" s="23">
        <v>1999</v>
      </c>
      <c r="O634" s="23">
        <v>184</v>
      </c>
      <c r="P634" s="23">
        <v>166</v>
      </c>
      <c r="Q634" s="24"/>
    </row>
    <row r="635" spans="11:17" x14ac:dyDescent="0.3">
      <c r="K635" s="85" t="s">
        <v>1500</v>
      </c>
      <c r="L635" s="23" t="s">
        <v>1520</v>
      </c>
      <c r="M635" s="23" t="s">
        <v>1508</v>
      </c>
      <c r="N635" s="23">
        <v>1999</v>
      </c>
      <c r="O635" s="23">
        <v>216</v>
      </c>
      <c r="P635" s="23">
        <v>74</v>
      </c>
      <c r="Q635" s="24"/>
    </row>
    <row r="636" spans="11:17" x14ac:dyDescent="0.3">
      <c r="K636" s="85" t="s">
        <v>1500</v>
      </c>
      <c r="L636" s="23" t="s">
        <v>1520</v>
      </c>
      <c r="M636" s="23" t="s">
        <v>1509</v>
      </c>
      <c r="N636" s="23">
        <v>1999</v>
      </c>
      <c r="O636" s="23">
        <v>145</v>
      </c>
      <c r="P636" s="23">
        <v>196</v>
      </c>
      <c r="Q636" s="24"/>
    </row>
    <row r="637" spans="11:17" x14ac:dyDescent="0.3">
      <c r="K637" s="85" t="s">
        <v>1510</v>
      </c>
      <c r="L637" s="23" t="s">
        <v>1520</v>
      </c>
      <c r="M637" s="23" t="s">
        <v>1501</v>
      </c>
      <c r="N637" s="23">
        <v>1999</v>
      </c>
      <c r="O637" s="23"/>
      <c r="P637" s="23">
        <v>9481</v>
      </c>
      <c r="Q637" s="24"/>
    </row>
    <row r="638" spans="11:17" x14ac:dyDescent="0.3">
      <c r="K638" s="85" t="s">
        <v>1510</v>
      </c>
      <c r="L638" s="23" t="s">
        <v>1520</v>
      </c>
      <c r="M638" s="23" t="s">
        <v>1502</v>
      </c>
      <c r="N638" s="23">
        <v>1999</v>
      </c>
      <c r="O638" s="23"/>
      <c r="P638" s="23">
        <v>4772</v>
      </c>
      <c r="Q638" s="24"/>
    </row>
    <row r="639" spans="11:17" x14ac:dyDescent="0.3">
      <c r="K639" s="85" t="s">
        <v>1510</v>
      </c>
      <c r="L639" s="23" t="s">
        <v>1520</v>
      </c>
      <c r="M639" s="23" t="s">
        <v>1503</v>
      </c>
      <c r="N639" s="23">
        <v>1999</v>
      </c>
      <c r="O639" s="23"/>
      <c r="P639" s="23">
        <v>2083</v>
      </c>
      <c r="Q639" s="24"/>
    </row>
    <row r="640" spans="11:17" x14ac:dyDescent="0.3">
      <c r="K640" s="85" t="s">
        <v>1510</v>
      </c>
      <c r="L640" s="23" t="s">
        <v>1520</v>
      </c>
      <c r="M640" s="23" t="s">
        <v>1504</v>
      </c>
      <c r="N640" s="23">
        <v>1999</v>
      </c>
      <c r="O640" s="23"/>
      <c r="P640" s="23">
        <v>1442</v>
      </c>
      <c r="Q640" s="24"/>
    </row>
    <row r="641" spans="11:17" x14ac:dyDescent="0.3">
      <c r="K641" s="85" t="s">
        <v>1510</v>
      </c>
      <c r="L641" s="23" t="s">
        <v>1520</v>
      </c>
      <c r="M641" s="23" t="s">
        <v>1505</v>
      </c>
      <c r="N641" s="23">
        <v>1999</v>
      </c>
      <c r="O641" s="23"/>
      <c r="P641" s="23">
        <v>1247</v>
      </c>
      <c r="Q641" s="24"/>
    </row>
    <row r="642" spans="11:17" x14ac:dyDescent="0.3">
      <c r="K642" s="85" t="s">
        <v>1510</v>
      </c>
      <c r="L642" s="23" t="s">
        <v>1520</v>
      </c>
      <c r="M642" s="23" t="s">
        <v>1506</v>
      </c>
      <c r="N642" s="23">
        <v>1999</v>
      </c>
      <c r="O642" s="23">
        <v>178</v>
      </c>
      <c r="P642" s="23">
        <v>353</v>
      </c>
      <c r="Q642" s="24"/>
    </row>
    <row r="643" spans="11:17" x14ac:dyDescent="0.3">
      <c r="K643" s="85" t="s">
        <v>1510</v>
      </c>
      <c r="L643" s="23" t="s">
        <v>1520</v>
      </c>
      <c r="M643" s="23" t="s">
        <v>1507</v>
      </c>
      <c r="N643" s="23">
        <v>1999</v>
      </c>
      <c r="O643" s="23">
        <v>185</v>
      </c>
      <c r="P643" s="23">
        <v>275</v>
      </c>
      <c r="Q643" s="24"/>
    </row>
    <row r="644" spans="11:17" x14ac:dyDescent="0.3">
      <c r="K644" s="85" t="s">
        <v>1510</v>
      </c>
      <c r="L644" s="23" t="s">
        <v>1520</v>
      </c>
      <c r="M644" s="23" t="s">
        <v>1508</v>
      </c>
      <c r="N644" s="23">
        <v>1999</v>
      </c>
      <c r="O644" s="23">
        <v>217</v>
      </c>
      <c r="P644" s="23">
        <v>397</v>
      </c>
      <c r="Q644" s="24"/>
    </row>
    <row r="645" spans="11:17" x14ac:dyDescent="0.3">
      <c r="K645" s="85" t="s">
        <v>1510</v>
      </c>
      <c r="L645" s="23" t="s">
        <v>1520</v>
      </c>
      <c r="M645" s="23" t="s">
        <v>1509</v>
      </c>
      <c r="N645" s="23">
        <v>1999</v>
      </c>
      <c r="O645" s="23">
        <v>146</v>
      </c>
      <c r="P645" s="23">
        <v>231</v>
      </c>
      <c r="Q645" s="24"/>
    </row>
    <row r="646" spans="11:17" x14ac:dyDescent="0.3">
      <c r="K646" s="85" t="s">
        <v>1500</v>
      </c>
      <c r="L646" s="23" t="s">
        <v>1520</v>
      </c>
      <c r="M646" s="23" t="s">
        <v>1501</v>
      </c>
      <c r="N646" s="23">
        <v>1998</v>
      </c>
      <c r="O646" s="23"/>
      <c r="P646" s="23">
        <v>4250</v>
      </c>
      <c r="Q646" s="24"/>
    </row>
    <row r="647" spans="11:17" x14ac:dyDescent="0.3">
      <c r="K647" s="85" t="s">
        <v>1500</v>
      </c>
      <c r="L647" s="23" t="s">
        <v>1520</v>
      </c>
      <c r="M647" s="23" t="s">
        <v>1502</v>
      </c>
      <c r="N647" s="23">
        <v>1998</v>
      </c>
      <c r="O647" s="23"/>
      <c r="P647" s="23">
        <v>3142</v>
      </c>
      <c r="Q647" s="24"/>
    </row>
    <row r="648" spans="11:17" x14ac:dyDescent="0.3">
      <c r="K648" s="85" t="s">
        <v>1500</v>
      </c>
      <c r="L648" s="23" t="s">
        <v>1520</v>
      </c>
      <c r="M648" s="23" t="s">
        <v>1503</v>
      </c>
      <c r="N648" s="23">
        <v>1998</v>
      </c>
      <c r="O648" s="23"/>
      <c r="P648" s="23">
        <v>1690</v>
      </c>
      <c r="Q648" s="24"/>
    </row>
    <row r="649" spans="11:17" x14ac:dyDescent="0.3">
      <c r="K649" s="85" t="s">
        <v>1500</v>
      </c>
      <c r="L649" s="23" t="s">
        <v>1520</v>
      </c>
      <c r="M649" s="23" t="s">
        <v>1504</v>
      </c>
      <c r="N649" s="23">
        <v>1998</v>
      </c>
      <c r="O649" s="23"/>
      <c r="P649" s="23">
        <v>425</v>
      </c>
      <c r="Q649" s="24"/>
    </row>
    <row r="650" spans="11:17" x14ac:dyDescent="0.3">
      <c r="K650" s="85" t="s">
        <v>1500</v>
      </c>
      <c r="L650" s="23" t="s">
        <v>1520</v>
      </c>
      <c r="M650" s="23" t="s">
        <v>1505</v>
      </c>
      <c r="N650" s="23">
        <v>1998</v>
      </c>
      <c r="O650" s="23"/>
      <c r="P650" s="23">
        <v>1027</v>
      </c>
      <c r="Q650" s="24"/>
    </row>
    <row r="651" spans="11:17" x14ac:dyDescent="0.3">
      <c r="K651" s="85" t="s">
        <v>1500</v>
      </c>
      <c r="L651" s="23" t="s">
        <v>1520</v>
      </c>
      <c r="M651" s="23" t="s">
        <v>1506</v>
      </c>
      <c r="N651" s="23">
        <v>1998</v>
      </c>
      <c r="O651" s="23">
        <v>235</v>
      </c>
      <c r="P651" s="23">
        <v>210</v>
      </c>
      <c r="Q651" s="24"/>
    </row>
    <row r="652" spans="11:17" x14ac:dyDescent="0.3">
      <c r="K652" s="85" t="s">
        <v>1500</v>
      </c>
      <c r="L652" s="23" t="s">
        <v>1520</v>
      </c>
      <c r="M652" s="23" t="s">
        <v>1507</v>
      </c>
      <c r="N652" s="23">
        <v>1998</v>
      </c>
      <c r="O652" s="23">
        <v>242</v>
      </c>
      <c r="P652" s="23">
        <v>93</v>
      </c>
      <c r="Q652" s="24"/>
    </row>
    <row r="653" spans="11:17" x14ac:dyDescent="0.3">
      <c r="K653" s="85" t="s">
        <v>1500</v>
      </c>
      <c r="L653" s="23" t="s">
        <v>1520</v>
      </c>
      <c r="M653" s="23" t="s">
        <v>1508</v>
      </c>
      <c r="N653" s="23">
        <v>1998</v>
      </c>
      <c r="O653" s="23">
        <v>274</v>
      </c>
      <c r="P653" s="23">
        <v>164</v>
      </c>
      <c r="Q653" s="24"/>
    </row>
    <row r="654" spans="11:17" x14ac:dyDescent="0.3">
      <c r="K654" s="85" t="s">
        <v>1500</v>
      </c>
      <c r="L654" s="23" t="s">
        <v>1520</v>
      </c>
      <c r="M654" s="23" t="s">
        <v>1509</v>
      </c>
      <c r="N654" s="23">
        <v>1998</v>
      </c>
      <c r="O654" s="23">
        <v>203</v>
      </c>
      <c r="P654" s="23">
        <v>139</v>
      </c>
      <c r="Q654" s="24"/>
    </row>
    <row r="655" spans="11:17" x14ac:dyDescent="0.3">
      <c r="K655" s="85" t="s">
        <v>1510</v>
      </c>
      <c r="L655" s="23" t="s">
        <v>1520</v>
      </c>
      <c r="M655" s="23" t="s">
        <v>1501</v>
      </c>
      <c r="N655" s="23">
        <v>1998</v>
      </c>
      <c r="O655" s="23"/>
      <c r="P655" s="23">
        <v>4812</v>
      </c>
      <c r="Q655" s="24"/>
    </row>
    <row r="656" spans="11:17" x14ac:dyDescent="0.3">
      <c r="K656" s="85" t="s">
        <v>1510</v>
      </c>
      <c r="L656" s="23" t="s">
        <v>1520</v>
      </c>
      <c r="M656" s="23" t="s">
        <v>1502</v>
      </c>
      <c r="N656" s="23">
        <v>1998</v>
      </c>
      <c r="O656" s="23"/>
      <c r="P656" s="23">
        <v>1992</v>
      </c>
      <c r="Q656" s="24"/>
    </row>
    <row r="657" spans="11:17" x14ac:dyDescent="0.3">
      <c r="K657" s="85" t="s">
        <v>1510</v>
      </c>
      <c r="L657" s="23" t="s">
        <v>1520</v>
      </c>
      <c r="M657" s="23" t="s">
        <v>1503</v>
      </c>
      <c r="N657" s="23">
        <v>1998</v>
      </c>
      <c r="O657" s="23"/>
      <c r="P657" s="23">
        <v>598</v>
      </c>
      <c r="Q657" s="24"/>
    </row>
    <row r="658" spans="11:17" x14ac:dyDescent="0.3">
      <c r="K658" s="85" t="s">
        <v>1510</v>
      </c>
      <c r="L658" s="23" t="s">
        <v>1520</v>
      </c>
      <c r="M658" s="23" t="s">
        <v>1504</v>
      </c>
      <c r="N658" s="23">
        <v>1998</v>
      </c>
      <c r="O658" s="23"/>
      <c r="P658" s="23">
        <v>140</v>
      </c>
      <c r="Q658" s="24"/>
    </row>
    <row r="659" spans="11:17" x14ac:dyDescent="0.3">
      <c r="K659" s="85" t="s">
        <v>1510</v>
      </c>
      <c r="L659" s="23" t="s">
        <v>1520</v>
      </c>
      <c r="M659" s="23" t="s">
        <v>1505</v>
      </c>
      <c r="N659" s="23">
        <v>1998</v>
      </c>
      <c r="O659" s="23"/>
      <c r="P659" s="23">
        <v>1254</v>
      </c>
      <c r="Q659" s="24"/>
    </row>
    <row r="660" spans="11:17" x14ac:dyDescent="0.3">
      <c r="K660" s="85" t="s">
        <v>1510</v>
      </c>
      <c r="L660" s="23" t="s">
        <v>1520</v>
      </c>
      <c r="M660" s="23" t="s">
        <v>1506</v>
      </c>
      <c r="N660" s="23">
        <v>1998</v>
      </c>
      <c r="O660" s="23">
        <v>236</v>
      </c>
      <c r="P660" s="23">
        <v>284</v>
      </c>
      <c r="Q660" s="24"/>
    </row>
    <row r="661" spans="11:17" x14ac:dyDescent="0.3">
      <c r="K661" s="85" t="s">
        <v>1510</v>
      </c>
      <c r="L661" s="23" t="s">
        <v>1520</v>
      </c>
      <c r="M661" s="23" t="s">
        <v>1507</v>
      </c>
      <c r="N661" s="23">
        <v>1998</v>
      </c>
      <c r="O661" s="23">
        <v>243</v>
      </c>
      <c r="P661" s="23">
        <v>340</v>
      </c>
      <c r="Q661" s="24"/>
    </row>
    <row r="662" spans="11:17" x14ac:dyDescent="0.3">
      <c r="K662" s="85" t="s">
        <v>1510</v>
      </c>
      <c r="L662" s="23" t="s">
        <v>1520</v>
      </c>
      <c r="M662" s="23" t="s">
        <v>1508</v>
      </c>
      <c r="N662" s="23">
        <v>1998</v>
      </c>
      <c r="O662" s="23">
        <v>275</v>
      </c>
      <c r="P662" s="23">
        <v>165</v>
      </c>
      <c r="Q662" s="24"/>
    </row>
    <row r="663" spans="11:17" x14ac:dyDescent="0.3">
      <c r="K663" s="85" t="s">
        <v>1510</v>
      </c>
      <c r="L663" s="23" t="s">
        <v>1520</v>
      </c>
      <c r="M663" s="23" t="s">
        <v>1509</v>
      </c>
      <c r="N663" s="23">
        <v>1998</v>
      </c>
      <c r="O663" s="23">
        <v>204</v>
      </c>
      <c r="P663" s="23">
        <v>459</v>
      </c>
      <c r="Q663" s="24"/>
    </row>
    <row r="664" spans="11:17" x14ac:dyDescent="0.3">
      <c r="K664" s="85" t="s">
        <v>1500</v>
      </c>
      <c r="L664" s="23" t="s">
        <v>1521</v>
      </c>
      <c r="M664" s="23" t="s">
        <v>1501</v>
      </c>
      <c r="N664" s="23">
        <v>2000</v>
      </c>
      <c r="O664" s="23"/>
      <c r="P664" s="23">
        <v>5205</v>
      </c>
      <c r="Q664" s="24"/>
    </row>
    <row r="665" spans="11:17" x14ac:dyDescent="0.3">
      <c r="K665" s="85" t="s">
        <v>1500</v>
      </c>
      <c r="L665" s="23" t="s">
        <v>1521</v>
      </c>
      <c r="M665" s="23" t="s">
        <v>1502</v>
      </c>
      <c r="N665" s="23">
        <v>2000</v>
      </c>
      <c r="O665" s="23"/>
      <c r="P665" s="23">
        <v>1625</v>
      </c>
      <c r="Q665" s="24"/>
    </row>
    <row r="666" spans="11:17" x14ac:dyDescent="0.3">
      <c r="K666" s="85" t="s">
        <v>1500</v>
      </c>
      <c r="L666" s="23" t="s">
        <v>1521</v>
      </c>
      <c r="M666" s="23" t="s">
        <v>1503</v>
      </c>
      <c r="N666" s="23">
        <v>2000</v>
      </c>
      <c r="O666" s="23"/>
      <c r="P666" s="23">
        <v>811</v>
      </c>
      <c r="Q666" s="24"/>
    </row>
    <row r="667" spans="11:17" x14ac:dyDescent="0.3">
      <c r="K667" s="85" t="s">
        <v>1500</v>
      </c>
      <c r="L667" s="23" t="s">
        <v>1521</v>
      </c>
      <c r="M667" s="23" t="s">
        <v>1504</v>
      </c>
      <c r="N667" s="23">
        <v>2000</v>
      </c>
      <c r="O667" s="23"/>
      <c r="P667" s="23">
        <v>310</v>
      </c>
      <c r="Q667" s="24"/>
    </row>
    <row r="668" spans="11:17" x14ac:dyDescent="0.3">
      <c r="K668" s="85" t="s">
        <v>1500</v>
      </c>
      <c r="L668" s="23" t="s">
        <v>1521</v>
      </c>
      <c r="M668" s="23" t="s">
        <v>1505</v>
      </c>
      <c r="N668" s="23">
        <v>2000</v>
      </c>
      <c r="O668" s="23"/>
      <c r="P668" s="23">
        <v>504</v>
      </c>
      <c r="Q668" s="24"/>
    </row>
    <row r="669" spans="11:17" x14ac:dyDescent="0.3">
      <c r="K669" s="85" t="s">
        <v>1500</v>
      </c>
      <c r="L669" s="23" t="s">
        <v>1521</v>
      </c>
      <c r="M669" s="23" t="s">
        <v>1506</v>
      </c>
      <c r="N669" s="23">
        <v>2000</v>
      </c>
      <c r="O669" s="23">
        <v>109</v>
      </c>
      <c r="P669" s="23">
        <v>161</v>
      </c>
      <c r="Q669" s="24"/>
    </row>
    <row r="670" spans="11:17" x14ac:dyDescent="0.3">
      <c r="K670" s="85" t="s">
        <v>1500</v>
      </c>
      <c r="L670" s="23" t="s">
        <v>1521</v>
      </c>
      <c r="M670" s="23" t="s">
        <v>1507</v>
      </c>
      <c r="N670" s="23">
        <v>2000</v>
      </c>
      <c r="O670" s="23">
        <v>116</v>
      </c>
      <c r="P670" s="23">
        <v>51</v>
      </c>
      <c r="Q670" s="24"/>
    </row>
    <row r="671" spans="11:17" x14ac:dyDescent="0.3">
      <c r="K671" s="85" t="s">
        <v>1500</v>
      </c>
      <c r="L671" s="23" t="s">
        <v>1521</v>
      </c>
      <c r="M671" s="23" t="s">
        <v>1508</v>
      </c>
      <c r="N671" s="23">
        <v>2000</v>
      </c>
      <c r="O671" s="23">
        <v>148</v>
      </c>
      <c r="P671" s="23">
        <v>46</v>
      </c>
      <c r="Q671" s="24"/>
    </row>
    <row r="672" spans="11:17" x14ac:dyDescent="0.3">
      <c r="K672" s="85" t="s">
        <v>1500</v>
      </c>
      <c r="L672" s="23" t="s">
        <v>1521</v>
      </c>
      <c r="M672" s="23" t="s">
        <v>1509</v>
      </c>
      <c r="N672" s="23">
        <v>2000</v>
      </c>
      <c r="O672" s="23">
        <v>77</v>
      </c>
      <c r="P672" s="23">
        <v>166</v>
      </c>
      <c r="Q672" s="24"/>
    </row>
    <row r="673" spans="11:17" x14ac:dyDescent="0.3">
      <c r="K673" s="85" t="s">
        <v>1510</v>
      </c>
      <c r="L673" s="23" t="s">
        <v>1521</v>
      </c>
      <c r="M673" s="23" t="s">
        <v>1501</v>
      </c>
      <c r="N673" s="23">
        <v>2000</v>
      </c>
      <c r="O673" s="23"/>
      <c r="P673" s="23">
        <v>4815</v>
      </c>
      <c r="Q673" s="24"/>
    </row>
    <row r="674" spans="11:17" x14ac:dyDescent="0.3">
      <c r="K674" s="85" t="s">
        <v>1510</v>
      </c>
      <c r="L674" s="23" t="s">
        <v>1521</v>
      </c>
      <c r="M674" s="23" t="s">
        <v>1502</v>
      </c>
      <c r="N674" s="23">
        <v>2000</v>
      </c>
      <c r="O674" s="23"/>
      <c r="P674" s="23">
        <v>2744</v>
      </c>
      <c r="Q674" s="24"/>
    </row>
    <row r="675" spans="11:17" x14ac:dyDescent="0.3">
      <c r="K675" s="85" t="s">
        <v>1510</v>
      </c>
      <c r="L675" s="23" t="s">
        <v>1521</v>
      </c>
      <c r="M675" s="23" t="s">
        <v>1503</v>
      </c>
      <c r="N675" s="23">
        <v>2000</v>
      </c>
      <c r="O675" s="23"/>
      <c r="P675" s="23">
        <v>1926</v>
      </c>
      <c r="Q675" s="24"/>
    </row>
    <row r="676" spans="11:17" x14ac:dyDescent="0.3">
      <c r="K676" s="85" t="s">
        <v>1510</v>
      </c>
      <c r="L676" s="23" t="s">
        <v>1521</v>
      </c>
      <c r="M676" s="23" t="s">
        <v>1504</v>
      </c>
      <c r="N676" s="23">
        <v>2000</v>
      </c>
      <c r="O676" s="23"/>
      <c r="P676" s="23">
        <v>1286</v>
      </c>
      <c r="Q676" s="24"/>
    </row>
    <row r="677" spans="11:17" x14ac:dyDescent="0.3">
      <c r="K677" s="85" t="s">
        <v>1510</v>
      </c>
      <c r="L677" s="23" t="s">
        <v>1521</v>
      </c>
      <c r="M677" s="23" t="s">
        <v>1505</v>
      </c>
      <c r="N677" s="23">
        <v>2000</v>
      </c>
      <c r="O677" s="23"/>
      <c r="P677" s="23">
        <v>-468</v>
      </c>
      <c r="Q677" s="24"/>
    </row>
    <row r="678" spans="11:17" x14ac:dyDescent="0.3">
      <c r="K678" s="85" t="s">
        <v>1510</v>
      </c>
      <c r="L678" s="23" t="s">
        <v>1521</v>
      </c>
      <c r="M678" s="23" t="s">
        <v>1506</v>
      </c>
      <c r="N678" s="23">
        <v>2000</v>
      </c>
      <c r="O678" s="23">
        <v>110</v>
      </c>
      <c r="P678" s="23">
        <v>34</v>
      </c>
      <c r="Q678" s="24"/>
    </row>
    <row r="679" spans="11:17" x14ac:dyDescent="0.3">
      <c r="K679" s="85" t="s">
        <v>1510</v>
      </c>
      <c r="L679" s="23" t="s">
        <v>1521</v>
      </c>
      <c r="M679" s="23" t="s">
        <v>1507</v>
      </c>
      <c r="N679" s="23">
        <v>2000</v>
      </c>
      <c r="O679" s="23">
        <v>117</v>
      </c>
      <c r="P679" s="23">
        <v>93</v>
      </c>
      <c r="Q679" s="24"/>
    </row>
    <row r="680" spans="11:17" x14ac:dyDescent="0.3">
      <c r="K680" s="85" t="s">
        <v>1510</v>
      </c>
      <c r="L680" s="23" t="s">
        <v>1521</v>
      </c>
      <c r="M680" s="23" t="s">
        <v>1508</v>
      </c>
      <c r="N680" s="23">
        <v>2000</v>
      </c>
      <c r="O680" s="23">
        <v>149</v>
      </c>
      <c r="P680" s="23">
        <v>119</v>
      </c>
      <c r="Q680" s="24"/>
    </row>
    <row r="681" spans="11:17" x14ac:dyDescent="0.3">
      <c r="K681" s="85" t="s">
        <v>1510</v>
      </c>
      <c r="L681" s="23" t="s">
        <v>1521</v>
      </c>
      <c r="M681" s="23" t="s">
        <v>1509</v>
      </c>
      <c r="N681" s="23">
        <v>2000</v>
      </c>
      <c r="O681" s="23">
        <v>78</v>
      </c>
      <c r="P681" s="23">
        <v>8</v>
      </c>
      <c r="Q681" s="24"/>
    </row>
    <row r="682" spans="11:17" x14ac:dyDescent="0.3">
      <c r="K682" s="85" t="s">
        <v>1500</v>
      </c>
      <c r="L682" s="23" t="s">
        <v>1521</v>
      </c>
      <c r="M682" s="23" t="s">
        <v>1501</v>
      </c>
      <c r="N682" s="23">
        <v>1999</v>
      </c>
      <c r="O682" s="23"/>
      <c r="P682" s="23">
        <v>5741</v>
      </c>
      <c r="Q682" s="24"/>
    </row>
    <row r="683" spans="11:17" x14ac:dyDescent="0.3">
      <c r="K683" s="85" t="s">
        <v>1500</v>
      </c>
      <c r="L683" s="23" t="s">
        <v>1521</v>
      </c>
      <c r="M683" s="23" t="s">
        <v>1502</v>
      </c>
      <c r="N683" s="23">
        <v>1999</v>
      </c>
      <c r="O683" s="23"/>
      <c r="P683" s="23">
        <v>3026</v>
      </c>
      <c r="Q683" s="24"/>
    </row>
    <row r="684" spans="11:17" x14ac:dyDescent="0.3">
      <c r="K684" s="85" t="s">
        <v>1500</v>
      </c>
      <c r="L684" s="23" t="s">
        <v>1521</v>
      </c>
      <c r="M684" s="23" t="s">
        <v>1503</v>
      </c>
      <c r="N684" s="23">
        <v>1999</v>
      </c>
      <c r="O684" s="23"/>
      <c r="P684" s="23">
        <v>1090</v>
      </c>
      <c r="Q684" s="24"/>
    </row>
    <row r="685" spans="11:17" x14ac:dyDescent="0.3">
      <c r="K685" s="85" t="s">
        <v>1500</v>
      </c>
      <c r="L685" s="23" t="s">
        <v>1521</v>
      </c>
      <c r="M685" s="23" t="s">
        <v>1504</v>
      </c>
      <c r="N685" s="23">
        <v>1999</v>
      </c>
      <c r="O685" s="23"/>
      <c r="P685" s="23">
        <v>406</v>
      </c>
      <c r="Q685" s="24"/>
    </row>
    <row r="686" spans="11:17" x14ac:dyDescent="0.3">
      <c r="K686" s="85" t="s">
        <v>1500</v>
      </c>
      <c r="L686" s="23" t="s">
        <v>1521</v>
      </c>
      <c r="M686" s="23" t="s">
        <v>1505</v>
      </c>
      <c r="N686" s="23">
        <v>1999</v>
      </c>
      <c r="O686" s="23"/>
      <c r="P686" s="23">
        <v>1530</v>
      </c>
      <c r="Q686" s="24"/>
    </row>
    <row r="687" spans="11:17" x14ac:dyDescent="0.3">
      <c r="K687" s="85" t="s">
        <v>1500</v>
      </c>
      <c r="L687" s="23" t="s">
        <v>1521</v>
      </c>
      <c r="M687" s="23" t="s">
        <v>1506</v>
      </c>
      <c r="N687" s="23">
        <v>1999</v>
      </c>
      <c r="O687" s="23">
        <v>167</v>
      </c>
      <c r="P687" s="23">
        <v>105</v>
      </c>
      <c r="Q687" s="24"/>
    </row>
    <row r="688" spans="11:17" x14ac:dyDescent="0.3">
      <c r="K688" s="85" t="s">
        <v>1500</v>
      </c>
      <c r="L688" s="23" t="s">
        <v>1521</v>
      </c>
      <c r="M688" s="23" t="s">
        <v>1507</v>
      </c>
      <c r="N688" s="23">
        <v>1999</v>
      </c>
      <c r="O688" s="23">
        <v>174</v>
      </c>
      <c r="P688" s="23">
        <v>50</v>
      </c>
      <c r="Q688" s="24"/>
    </row>
    <row r="689" spans="11:17" x14ac:dyDescent="0.3">
      <c r="K689" s="85" t="s">
        <v>1500</v>
      </c>
      <c r="L689" s="23" t="s">
        <v>1521</v>
      </c>
      <c r="M689" s="23" t="s">
        <v>1508</v>
      </c>
      <c r="N689" s="23">
        <v>1999</v>
      </c>
      <c r="O689" s="23">
        <v>206</v>
      </c>
      <c r="P689" s="23">
        <v>92</v>
      </c>
      <c r="Q689" s="24"/>
    </row>
    <row r="690" spans="11:17" x14ac:dyDescent="0.3">
      <c r="K690" s="85" t="s">
        <v>1500</v>
      </c>
      <c r="L690" s="23" t="s">
        <v>1521</v>
      </c>
      <c r="M690" s="23" t="s">
        <v>1509</v>
      </c>
      <c r="N690" s="23">
        <v>1999</v>
      </c>
      <c r="O690" s="23">
        <v>135</v>
      </c>
      <c r="P690" s="23">
        <v>63</v>
      </c>
      <c r="Q690" s="24"/>
    </row>
    <row r="691" spans="11:17" x14ac:dyDescent="0.3">
      <c r="K691" s="85" t="s">
        <v>1510</v>
      </c>
      <c r="L691" s="23" t="s">
        <v>1521</v>
      </c>
      <c r="M691" s="23" t="s">
        <v>1501</v>
      </c>
      <c r="N691" s="23">
        <v>1999</v>
      </c>
      <c r="O691" s="23"/>
      <c r="P691" s="23">
        <v>10670</v>
      </c>
      <c r="Q691" s="24"/>
    </row>
    <row r="692" spans="11:17" x14ac:dyDescent="0.3">
      <c r="K692" s="85" t="s">
        <v>1510</v>
      </c>
      <c r="L692" s="23" t="s">
        <v>1521</v>
      </c>
      <c r="M692" s="23" t="s">
        <v>1502</v>
      </c>
      <c r="N692" s="23">
        <v>1999</v>
      </c>
      <c r="O692" s="23"/>
      <c r="P692" s="23">
        <v>6272</v>
      </c>
      <c r="Q692" s="24"/>
    </row>
    <row r="693" spans="11:17" x14ac:dyDescent="0.3">
      <c r="K693" s="85" t="s">
        <v>1510</v>
      </c>
      <c r="L693" s="23" t="s">
        <v>1521</v>
      </c>
      <c r="M693" s="23" t="s">
        <v>1503</v>
      </c>
      <c r="N693" s="23">
        <v>1999</v>
      </c>
      <c r="O693" s="23"/>
      <c r="P693" s="23">
        <v>3239</v>
      </c>
      <c r="Q693" s="24"/>
    </row>
    <row r="694" spans="11:17" x14ac:dyDescent="0.3">
      <c r="K694" s="85" t="s">
        <v>1510</v>
      </c>
      <c r="L694" s="23" t="s">
        <v>1521</v>
      </c>
      <c r="M694" s="23" t="s">
        <v>1504</v>
      </c>
      <c r="N694" s="23">
        <v>1999</v>
      </c>
      <c r="O694" s="23"/>
      <c r="P694" s="23">
        <v>1199</v>
      </c>
      <c r="Q694" s="24"/>
    </row>
    <row r="695" spans="11:17" x14ac:dyDescent="0.3">
      <c r="K695" s="85" t="s">
        <v>1510</v>
      </c>
      <c r="L695" s="23" t="s">
        <v>1521</v>
      </c>
      <c r="M695" s="23" t="s">
        <v>1505</v>
      </c>
      <c r="N695" s="23">
        <v>1999</v>
      </c>
      <c r="O695" s="23"/>
      <c r="P695" s="23">
        <v>1834</v>
      </c>
      <c r="Q695" s="24"/>
    </row>
    <row r="696" spans="11:17" x14ac:dyDescent="0.3">
      <c r="K696" s="85" t="s">
        <v>1510</v>
      </c>
      <c r="L696" s="23" t="s">
        <v>1521</v>
      </c>
      <c r="M696" s="23" t="s">
        <v>1506</v>
      </c>
      <c r="N696" s="23">
        <v>1999</v>
      </c>
      <c r="O696" s="23">
        <v>168</v>
      </c>
      <c r="P696" s="23">
        <v>99</v>
      </c>
      <c r="Q696" s="24"/>
    </row>
    <row r="697" spans="11:17" x14ac:dyDescent="0.3">
      <c r="K697" s="85" t="s">
        <v>1510</v>
      </c>
      <c r="L697" s="23" t="s">
        <v>1521</v>
      </c>
      <c r="M697" s="23" t="s">
        <v>1507</v>
      </c>
      <c r="N697" s="23">
        <v>1999</v>
      </c>
      <c r="O697" s="23">
        <v>175</v>
      </c>
      <c r="P697" s="23">
        <v>45</v>
      </c>
      <c r="Q697" s="24"/>
    </row>
    <row r="698" spans="11:17" x14ac:dyDescent="0.3">
      <c r="K698" s="85" t="s">
        <v>1510</v>
      </c>
      <c r="L698" s="23" t="s">
        <v>1521</v>
      </c>
      <c r="M698" s="23" t="s">
        <v>1508</v>
      </c>
      <c r="N698" s="23">
        <v>1999</v>
      </c>
      <c r="O698" s="23">
        <v>207</v>
      </c>
      <c r="P698" s="23">
        <v>258</v>
      </c>
      <c r="Q698" s="24"/>
    </row>
    <row r="699" spans="11:17" x14ac:dyDescent="0.3">
      <c r="K699" s="85" t="s">
        <v>1510</v>
      </c>
      <c r="L699" s="23" t="s">
        <v>1521</v>
      </c>
      <c r="M699" s="23" t="s">
        <v>1509</v>
      </c>
      <c r="N699" s="23">
        <v>1999</v>
      </c>
      <c r="O699" s="23">
        <v>136</v>
      </c>
      <c r="P699" s="23">
        <v>-114</v>
      </c>
      <c r="Q699" s="24"/>
    </row>
    <row r="700" spans="11:17" x14ac:dyDescent="0.3">
      <c r="K700" s="85" t="s">
        <v>1500</v>
      </c>
      <c r="L700" s="23" t="s">
        <v>1521</v>
      </c>
      <c r="M700" s="23" t="s">
        <v>1501</v>
      </c>
      <c r="N700" s="23">
        <v>1998</v>
      </c>
      <c r="O700" s="23"/>
      <c r="P700" s="23">
        <v>3415</v>
      </c>
      <c r="Q700" s="24"/>
    </row>
    <row r="701" spans="11:17" x14ac:dyDescent="0.3">
      <c r="K701" s="85" t="s">
        <v>1500</v>
      </c>
      <c r="L701" s="23" t="s">
        <v>1521</v>
      </c>
      <c r="M701" s="23" t="s">
        <v>1502</v>
      </c>
      <c r="N701" s="23">
        <v>1998</v>
      </c>
      <c r="O701" s="23"/>
      <c r="P701" s="23">
        <v>1747</v>
      </c>
      <c r="Q701" s="24"/>
    </row>
    <row r="702" spans="11:17" x14ac:dyDescent="0.3">
      <c r="K702" s="85" t="s">
        <v>1500</v>
      </c>
      <c r="L702" s="23" t="s">
        <v>1521</v>
      </c>
      <c r="M702" s="23" t="s">
        <v>1503</v>
      </c>
      <c r="N702" s="23">
        <v>1998</v>
      </c>
      <c r="O702" s="23"/>
      <c r="P702" s="23">
        <v>441</v>
      </c>
      <c r="Q702" s="24"/>
    </row>
    <row r="703" spans="11:17" x14ac:dyDescent="0.3">
      <c r="K703" s="85" t="s">
        <v>1500</v>
      </c>
      <c r="L703" s="23" t="s">
        <v>1521</v>
      </c>
      <c r="M703" s="23" t="s">
        <v>1504</v>
      </c>
      <c r="N703" s="23">
        <v>1998</v>
      </c>
      <c r="O703" s="23"/>
      <c r="P703" s="23">
        <v>166</v>
      </c>
      <c r="Q703" s="24"/>
    </row>
    <row r="704" spans="11:17" x14ac:dyDescent="0.3">
      <c r="K704" s="85" t="s">
        <v>1500</v>
      </c>
      <c r="L704" s="23" t="s">
        <v>1521</v>
      </c>
      <c r="M704" s="23" t="s">
        <v>1505</v>
      </c>
      <c r="N704" s="23">
        <v>1998</v>
      </c>
      <c r="O704" s="23"/>
      <c r="P704" s="23">
        <v>1140</v>
      </c>
      <c r="Q704" s="24"/>
    </row>
    <row r="705" spans="11:17" x14ac:dyDescent="0.3">
      <c r="K705" s="85" t="s">
        <v>1500</v>
      </c>
      <c r="L705" s="23" t="s">
        <v>1521</v>
      </c>
      <c r="M705" s="23" t="s">
        <v>1506</v>
      </c>
      <c r="N705" s="23">
        <v>1998</v>
      </c>
      <c r="O705" s="23">
        <v>225</v>
      </c>
      <c r="P705" s="23">
        <v>98</v>
      </c>
      <c r="Q705" s="24"/>
    </row>
    <row r="706" spans="11:17" x14ac:dyDescent="0.3">
      <c r="K706" s="85" t="s">
        <v>1500</v>
      </c>
      <c r="L706" s="23" t="s">
        <v>1521</v>
      </c>
      <c r="M706" s="23" t="s">
        <v>1507</v>
      </c>
      <c r="N706" s="23">
        <v>1998</v>
      </c>
      <c r="O706" s="23">
        <v>232</v>
      </c>
      <c r="P706" s="23">
        <v>89</v>
      </c>
      <c r="Q706" s="24"/>
    </row>
    <row r="707" spans="11:17" x14ac:dyDescent="0.3">
      <c r="K707" s="85" t="s">
        <v>1500</v>
      </c>
      <c r="L707" s="23" t="s">
        <v>1521</v>
      </c>
      <c r="M707" s="23" t="s">
        <v>1508</v>
      </c>
      <c r="N707" s="23">
        <v>1998</v>
      </c>
      <c r="O707" s="23">
        <v>264</v>
      </c>
      <c r="P707" s="23">
        <v>137</v>
      </c>
      <c r="Q707" s="24"/>
    </row>
    <row r="708" spans="11:17" x14ac:dyDescent="0.3">
      <c r="K708" s="85" t="s">
        <v>1500</v>
      </c>
      <c r="L708" s="23" t="s">
        <v>1521</v>
      </c>
      <c r="M708" s="23" t="s">
        <v>1509</v>
      </c>
      <c r="N708" s="23">
        <v>1998</v>
      </c>
      <c r="O708" s="23">
        <v>193</v>
      </c>
      <c r="P708" s="23">
        <v>50</v>
      </c>
      <c r="Q708" s="24"/>
    </row>
    <row r="709" spans="11:17" x14ac:dyDescent="0.3">
      <c r="K709" s="85" t="s">
        <v>1510</v>
      </c>
      <c r="L709" s="23" t="s">
        <v>1521</v>
      </c>
      <c r="M709" s="23" t="s">
        <v>1501</v>
      </c>
      <c r="N709" s="23">
        <v>1998</v>
      </c>
      <c r="O709" s="23"/>
      <c r="P709" s="23">
        <v>8341</v>
      </c>
      <c r="Q709" s="24"/>
    </row>
    <row r="710" spans="11:17" x14ac:dyDescent="0.3">
      <c r="K710" s="85" t="s">
        <v>1510</v>
      </c>
      <c r="L710" s="23" t="s">
        <v>1521</v>
      </c>
      <c r="M710" s="23" t="s">
        <v>1502</v>
      </c>
      <c r="N710" s="23">
        <v>1998</v>
      </c>
      <c r="O710" s="23"/>
      <c r="P710" s="23">
        <v>4288</v>
      </c>
      <c r="Q710" s="24"/>
    </row>
    <row r="711" spans="11:17" x14ac:dyDescent="0.3">
      <c r="K711" s="85" t="s">
        <v>1510</v>
      </c>
      <c r="L711" s="23" t="s">
        <v>1521</v>
      </c>
      <c r="M711" s="23" t="s">
        <v>1503</v>
      </c>
      <c r="N711" s="23">
        <v>1998</v>
      </c>
      <c r="O711" s="23"/>
      <c r="P711" s="23">
        <v>2787</v>
      </c>
      <c r="Q711" s="24"/>
    </row>
    <row r="712" spans="11:17" x14ac:dyDescent="0.3">
      <c r="K712" s="85" t="s">
        <v>1510</v>
      </c>
      <c r="L712" s="23" t="s">
        <v>1521</v>
      </c>
      <c r="M712" s="23" t="s">
        <v>1504</v>
      </c>
      <c r="N712" s="23">
        <v>1998</v>
      </c>
      <c r="O712" s="23"/>
      <c r="P712" s="23">
        <v>230</v>
      </c>
      <c r="Q712" s="24"/>
    </row>
    <row r="713" spans="11:17" x14ac:dyDescent="0.3">
      <c r="K713" s="85" t="s">
        <v>1510</v>
      </c>
      <c r="L713" s="23" t="s">
        <v>1521</v>
      </c>
      <c r="M713" s="23" t="s">
        <v>1505</v>
      </c>
      <c r="N713" s="23">
        <v>1998</v>
      </c>
      <c r="O713" s="23"/>
      <c r="P713" s="23">
        <v>1271</v>
      </c>
      <c r="Q713" s="24"/>
    </row>
    <row r="714" spans="11:17" x14ac:dyDescent="0.3">
      <c r="K714" s="85" t="s">
        <v>1510</v>
      </c>
      <c r="L714" s="23" t="s">
        <v>1521</v>
      </c>
      <c r="M714" s="23" t="s">
        <v>1506</v>
      </c>
      <c r="N714" s="23">
        <v>1998</v>
      </c>
      <c r="O714" s="23">
        <v>226</v>
      </c>
      <c r="P714" s="23">
        <v>471</v>
      </c>
      <c r="Q714" s="24"/>
    </row>
    <row r="715" spans="11:17" x14ac:dyDescent="0.3">
      <c r="K715" s="85" t="s">
        <v>1510</v>
      </c>
      <c r="L715" s="23" t="s">
        <v>1521</v>
      </c>
      <c r="M715" s="23" t="s">
        <v>1507</v>
      </c>
      <c r="N715" s="23">
        <v>1998</v>
      </c>
      <c r="O715" s="23">
        <v>233</v>
      </c>
      <c r="P715" s="23">
        <v>163</v>
      </c>
      <c r="Q715" s="24"/>
    </row>
    <row r="716" spans="11:17" x14ac:dyDescent="0.3">
      <c r="K716" s="85" t="s">
        <v>1510</v>
      </c>
      <c r="L716" s="23" t="s">
        <v>1521</v>
      </c>
      <c r="M716" s="23" t="s">
        <v>1508</v>
      </c>
      <c r="N716" s="23">
        <v>1998</v>
      </c>
      <c r="O716" s="23">
        <v>265</v>
      </c>
      <c r="P716" s="23">
        <v>114</v>
      </c>
      <c r="Q716" s="24"/>
    </row>
    <row r="717" spans="11:17" x14ac:dyDescent="0.3">
      <c r="K717" s="85" t="s">
        <v>1510</v>
      </c>
      <c r="L717" s="23" t="s">
        <v>1521</v>
      </c>
      <c r="M717" s="23" t="s">
        <v>1509</v>
      </c>
      <c r="N717" s="23">
        <v>1998</v>
      </c>
      <c r="O717" s="23">
        <v>194</v>
      </c>
      <c r="P717" s="23">
        <v>520</v>
      </c>
      <c r="Q717" s="24"/>
    </row>
    <row r="718" spans="11:17" x14ac:dyDescent="0.3">
      <c r="K718" s="85" t="s">
        <v>1500</v>
      </c>
      <c r="L718" s="23" t="s">
        <v>1522</v>
      </c>
      <c r="M718" s="23" t="s">
        <v>1501</v>
      </c>
      <c r="N718" s="23">
        <v>2000</v>
      </c>
      <c r="O718" s="23"/>
      <c r="P718" s="23">
        <v>5756</v>
      </c>
      <c r="Q718" s="24"/>
    </row>
    <row r="719" spans="11:17" x14ac:dyDescent="0.3">
      <c r="K719" s="85" t="s">
        <v>1500</v>
      </c>
      <c r="L719" s="23" t="s">
        <v>1522</v>
      </c>
      <c r="M719" s="23" t="s">
        <v>1502</v>
      </c>
      <c r="N719" s="23">
        <v>2000</v>
      </c>
      <c r="O719" s="23"/>
      <c r="P719" s="23">
        <v>3535</v>
      </c>
      <c r="Q719" s="24"/>
    </row>
    <row r="720" spans="11:17" x14ac:dyDescent="0.3">
      <c r="K720" s="85" t="s">
        <v>1500</v>
      </c>
      <c r="L720" s="23" t="s">
        <v>1522</v>
      </c>
      <c r="M720" s="23" t="s">
        <v>1503</v>
      </c>
      <c r="N720" s="23">
        <v>2000</v>
      </c>
      <c r="O720" s="23"/>
      <c r="P720" s="23">
        <v>1917</v>
      </c>
      <c r="Q720" s="24"/>
    </row>
    <row r="721" spans="11:17" x14ac:dyDescent="0.3">
      <c r="K721" s="85" t="s">
        <v>1500</v>
      </c>
      <c r="L721" s="23" t="s">
        <v>1522</v>
      </c>
      <c r="M721" s="23" t="s">
        <v>1504</v>
      </c>
      <c r="N721" s="23">
        <v>2000</v>
      </c>
      <c r="O721" s="23"/>
      <c r="P721" s="23">
        <v>395</v>
      </c>
      <c r="Q721" s="24"/>
    </row>
    <row r="722" spans="11:17" x14ac:dyDescent="0.3">
      <c r="K722" s="85" t="s">
        <v>1500</v>
      </c>
      <c r="L722" s="23" t="s">
        <v>1522</v>
      </c>
      <c r="M722" s="23" t="s">
        <v>1505</v>
      </c>
      <c r="N722" s="23">
        <v>2000</v>
      </c>
      <c r="O722" s="23"/>
      <c r="P722" s="23">
        <v>1223</v>
      </c>
      <c r="Q722" s="24"/>
    </row>
    <row r="723" spans="11:17" x14ac:dyDescent="0.3">
      <c r="K723" s="85" t="s">
        <v>1500</v>
      </c>
      <c r="L723" s="23" t="s">
        <v>1522</v>
      </c>
      <c r="M723" s="23" t="s">
        <v>1506</v>
      </c>
      <c r="N723" s="23">
        <v>2000</v>
      </c>
      <c r="O723" s="23">
        <v>111</v>
      </c>
      <c r="P723" s="23">
        <v>101</v>
      </c>
      <c r="Q723" s="24"/>
    </row>
    <row r="724" spans="11:17" x14ac:dyDescent="0.3">
      <c r="K724" s="85" t="s">
        <v>1500</v>
      </c>
      <c r="L724" s="23" t="s">
        <v>1522</v>
      </c>
      <c r="M724" s="23" t="s">
        <v>1507</v>
      </c>
      <c r="N724" s="23">
        <v>2000</v>
      </c>
      <c r="O724" s="23">
        <v>118</v>
      </c>
      <c r="P724" s="23">
        <v>70</v>
      </c>
      <c r="Q724" s="24"/>
    </row>
    <row r="725" spans="11:17" x14ac:dyDescent="0.3">
      <c r="K725" s="85" t="s">
        <v>1500</v>
      </c>
      <c r="L725" s="23" t="s">
        <v>1522</v>
      </c>
      <c r="M725" s="23" t="s">
        <v>1508</v>
      </c>
      <c r="N725" s="23">
        <v>2000</v>
      </c>
      <c r="O725" s="23">
        <v>150</v>
      </c>
      <c r="P725" s="23">
        <v>316</v>
      </c>
      <c r="Q725" s="24"/>
    </row>
    <row r="726" spans="11:17" x14ac:dyDescent="0.3">
      <c r="K726" s="85" t="s">
        <v>1500</v>
      </c>
      <c r="L726" s="23" t="s">
        <v>1522</v>
      </c>
      <c r="M726" s="23" t="s">
        <v>1509</v>
      </c>
      <c r="N726" s="23">
        <v>2000</v>
      </c>
      <c r="O726" s="23">
        <v>79</v>
      </c>
      <c r="P726" s="23">
        <v>-145</v>
      </c>
      <c r="Q726" s="24"/>
    </row>
    <row r="727" spans="11:17" x14ac:dyDescent="0.3">
      <c r="K727" s="85" t="s">
        <v>1510</v>
      </c>
      <c r="L727" s="23" t="s">
        <v>1522</v>
      </c>
      <c r="M727" s="23" t="s">
        <v>1501</v>
      </c>
      <c r="N727" s="23">
        <v>2000</v>
      </c>
      <c r="O727" s="23"/>
      <c r="P727" s="23">
        <v>5054</v>
      </c>
      <c r="Q727" s="24"/>
    </row>
    <row r="728" spans="11:17" x14ac:dyDescent="0.3">
      <c r="K728" s="85" t="s">
        <v>1510</v>
      </c>
      <c r="L728" s="23" t="s">
        <v>1522</v>
      </c>
      <c r="M728" s="23" t="s">
        <v>1502</v>
      </c>
      <c r="N728" s="23">
        <v>2000</v>
      </c>
      <c r="O728" s="23"/>
      <c r="P728" s="23">
        <v>3576</v>
      </c>
      <c r="Q728" s="24"/>
    </row>
    <row r="729" spans="11:17" x14ac:dyDescent="0.3">
      <c r="K729" s="85" t="s">
        <v>1510</v>
      </c>
      <c r="L729" s="23" t="s">
        <v>1522</v>
      </c>
      <c r="M729" s="23" t="s">
        <v>1503</v>
      </c>
      <c r="N729" s="23">
        <v>2000</v>
      </c>
      <c r="O729" s="23"/>
      <c r="P729" s="23">
        <v>1583</v>
      </c>
      <c r="Q729" s="24"/>
    </row>
    <row r="730" spans="11:17" x14ac:dyDescent="0.3">
      <c r="K730" s="85" t="s">
        <v>1510</v>
      </c>
      <c r="L730" s="23" t="s">
        <v>1522</v>
      </c>
      <c r="M730" s="23" t="s">
        <v>1504</v>
      </c>
      <c r="N730" s="23">
        <v>2000</v>
      </c>
      <c r="O730" s="23"/>
      <c r="P730" s="23">
        <v>840</v>
      </c>
      <c r="Q730" s="24"/>
    </row>
    <row r="731" spans="11:17" x14ac:dyDescent="0.3">
      <c r="K731" s="85" t="s">
        <v>1510</v>
      </c>
      <c r="L731" s="23" t="s">
        <v>1522</v>
      </c>
      <c r="M731" s="23" t="s">
        <v>1505</v>
      </c>
      <c r="N731" s="23">
        <v>2000</v>
      </c>
      <c r="O731" s="23"/>
      <c r="P731" s="23">
        <v>1153</v>
      </c>
      <c r="Q731" s="24"/>
    </row>
    <row r="732" spans="11:17" x14ac:dyDescent="0.3">
      <c r="K732" s="85" t="s">
        <v>1510</v>
      </c>
      <c r="L732" s="23" t="s">
        <v>1522</v>
      </c>
      <c r="M732" s="23" t="s">
        <v>1506</v>
      </c>
      <c r="N732" s="23">
        <v>2000</v>
      </c>
      <c r="O732" s="23">
        <v>112</v>
      </c>
      <c r="P732" s="23">
        <v>75</v>
      </c>
      <c r="Q732" s="24"/>
    </row>
    <row r="733" spans="11:17" x14ac:dyDescent="0.3">
      <c r="K733" s="85" t="s">
        <v>1510</v>
      </c>
      <c r="L733" s="23" t="s">
        <v>1522</v>
      </c>
      <c r="M733" s="23" t="s">
        <v>1507</v>
      </c>
      <c r="N733" s="23">
        <v>2000</v>
      </c>
      <c r="O733" s="23">
        <v>119</v>
      </c>
      <c r="P733" s="23">
        <v>109</v>
      </c>
      <c r="Q733" s="24"/>
    </row>
    <row r="734" spans="11:17" x14ac:dyDescent="0.3">
      <c r="K734" s="85" t="s">
        <v>1510</v>
      </c>
      <c r="L734" s="23" t="s">
        <v>1522</v>
      </c>
      <c r="M734" s="23" t="s">
        <v>1508</v>
      </c>
      <c r="N734" s="23">
        <v>2000</v>
      </c>
      <c r="O734" s="23">
        <v>151</v>
      </c>
      <c r="P734" s="23">
        <v>148</v>
      </c>
      <c r="Q734" s="24"/>
    </row>
    <row r="735" spans="11:17" x14ac:dyDescent="0.3">
      <c r="K735" s="85" t="s">
        <v>1510</v>
      </c>
      <c r="L735" s="23" t="s">
        <v>1522</v>
      </c>
      <c r="M735" s="23" t="s">
        <v>1509</v>
      </c>
      <c r="N735" s="23">
        <v>2000</v>
      </c>
      <c r="O735" s="23">
        <v>80</v>
      </c>
      <c r="P735" s="23">
        <v>36</v>
      </c>
      <c r="Q735" s="24"/>
    </row>
    <row r="736" spans="11:17" x14ac:dyDescent="0.3">
      <c r="K736" s="85" t="s">
        <v>1500</v>
      </c>
      <c r="L736" s="23" t="s">
        <v>1522</v>
      </c>
      <c r="M736" s="23" t="s">
        <v>1501</v>
      </c>
      <c r="N736" s="23">
        <v>1999</v>
      </c>
      <c r="O736" s="23"/>
      <c r="P736" s="23">
        <v>5528</v>
      </c>
      <c r="Q736" s="24"/>
    </row>
    <row r="737" spans="11:17" x14ac:dyDescent="0.3">
      <c r="K737" s="85" t="s">
        <v>1500</v>
      </c>
      <c r="L737" s="23" t="s">
        <v>1522</v>
      </c>
      <c r="M737" s="23" t="s">
        <v>1502</v>
      </c>
      <c r="N737" s="23">
        <v>1999</v>
      </c>
      <c r="O737" s="23"/>
      <c r="P737" s="23">
        <v>2250</v>
      </c>
      <c r="Q737" s="24"/>
    </row>
    <row r="738" spans="11:17" x14ac:dyDescent="0.3">
      <c r="K738" s="85" t="s">
        <v>1500</v>
      </c>
      <c r="L738" s="23" t="s">
        <v>1522</v>
      </c>
      <c r="M738" s="23" t="s">
        <v>1503</v>
      </c>
      <c r="N738" s="23">
        <v>1999</v>
      </c>
      <c r="O738" s="23"/>
      <c r="P738" s="23">
        <v>506</v>
      </c>
      <c r="Q738" s="24"/>
    </row>
    <row r="739" spans="11:17" x14ac:dyDescent="0.3">
      <c r="K739" s="85" t="s">
        <v>1500</v>
      </c>
      <c r="L739" s="23" t="s">
        <v>1522</v>
      </c>
      <c r="M739" s="23" t="s">
        <v>1504</v>
      </c>
      <c r="N739" s="23">
        <v>1999</v>
      </c>
      <c r="O739" s="23"/>
      <c r="P739" s="23">
        <v>176</v>
      </c>
      <c r="Q739" s="24"/>
    </row>
    <row r="740" spans="11:17" x14ac:dyDescent="0.3">
      <c r="K740" s="85" t="s">
        <v>1500</v>
      </c>
      <c r="L740" s="23" t="s">
        <v>1522</v>
      </c>
      <c r="M740" s="23" t="s">
        <v>1505</v>
      </c>
      <c r="N740" s="23">
        <v>1999</v>
      </c>
      <c r="O740" s="23"/>
      <c r="P740" s="23">
        <v>1568</v>
      </c>
      <c r="Q740" s="24"/>
    </row>
    <row r="741" spans="11:17" x14ac:dyDescent="0.3">
      <c r="K741" s="85" t="s">
        <v>1500</v>
      </c>
      <c r="L741" s="23" t="s">
        <v>1522</v>
      </c>
      <c r="M741" s="23" t="s">
        <v>1506</v>
      </c>
      <c r="N741" s="23">
        <v>1999</v>
      </c>
      <c r="O741" s="23">
        <v>169</v>
      </c>
      <c r="P741" s="23">
        <v>104</v>
      </c>
      <c r="Q741" s="24"/>
    </row>
    <row r="742" spans="11:17" x14ac:dyDescent="0.3">
      <c r="K742" s="85" t="s">
        <v>1500</v>
      </c>
      <c r="L742" s="23" t="s">
        <v>1522</v>
      </c>
      <c r="M742" s="23" t="s">
        <v>1507</v>
      </c>
      <c r="N742" s="23">
        <v>1999</v>
      </c>
      <c r="O742" s="23">
        <v>176</v>
      </c>
      <c r="P742" s="23">
        <v>69</v>
      </c>
      <c r="Q742" s="24"/>
    </row>
    <row r="743" spans="11:17" x14ac:dyDescent="0.3">
      <c r="K743" s="85" t="s">
        <v>1500</v>
      </c>
      <c r="L743" s="23" t="s">
        <v>1522</v>
      </c>
      <c r="M743" s="23" t="s">
        <v>1508</v>
      </c>
      <c r="N743" s="23">
        <v>1999</v>
      </c>
      <c r="O743" s="23">
        <v>208</v>
      </c>
      <c r="P743" s="23">
        <v>249</v>
      </c>
      <c r="Q743" s="24"/>
    </row>
    <row r="744" spans="11:17" x14ac:dyDescent="0.3">
      <c r="K744" s="85" t="s">
        <v>1500</v>
      </c>
      <c r="L744" s="23" t="s">
        <v>1522</v>
      </c>
      <c r="M744" s="23" t="s">
        <v>1509</v>
      </c>
      <c r="N744" s="23">
        <v>1999</v>
      </c>
      <c r="O744" s="23">
        <v>137</v>
      </c>
      <c r="P744" s="23">
        <v>-76</v>
      </c>
      <c r="Q744" s="24"/>
    </row>
    <row r="745" spans="11:17" x14ac:dyDescent="0.3">
      <c r="K745" s="85" t="s">
        <v>1510</v>
      </c>
      <c r="L745" s="23" t="s">
        <v>1522</v>
      </c>
      <c r="M745" s="23" t="s">
        <v>1501</v>
      </c>
      <c r="N745" s="23">
        <v>1999</v>
      </c>
      <c r="O745" s="23"/>
      <c r="P745" s="23">
        <v>11368</v>
      </c>
      <c r="Q745" s="24"/>
    </row>
    <row r="746" spans="11:17" x14ac:dyDescent="0.3">
      <c r="K746" s="85" t="s">
        <v>1510</v>
      </c>
      <c r="L746" s="23" t="s">
        <v>1522</v>
      </c>
      <c r="M746" s="23" t="s">
        <v>1502</v>
      </c>
      <c r="N746" s="23">
        <v>1999</v>
      </c>
      <c r="O746" s="23"/>
      <c r="P746" s="23">
        <v>6734</v>
      </c>
      <c r="Q746" s="24"/>
    </row>
    <row r="747" spans="11:17" x14ac:dyDescent="0.3">
      <c r="K747" s="85" t="s">
        <v>1510</v>
      </c>
      <c r="L747" s="23" t="s">
        <v>1522</v>
      </c>
      <c r="M747" s="23" t="s">
        <v>1503</v>
      </c>
      <c r="N747" s="23">
        <v>1999</v>
      </c>
      <c r="O747" s="23"/>
      <c r="P747" s="23">
        <v>3251</v>
      </c>
      <c r="Q747" s="24"/>
    </row>
    <row r="748" spans="11:17" x14ac:dyDescent="0.3">
      <c r="K748" s="85" t="s">
        <v>1510</v>
      </c>
      <c r="L748" s="23" t="s">
        <v>1522</v>
      </c>
      <c r="M748" s="23" t="s">
        <v>1504</v>
      </c>
      <c r="N748" s="23">
        <v>1999</v>
      </c>
      <c r="O748" s="23"/>
      <c r="P748" s="23">
        <v>1694</v>
      </c>
      <c r="Q748" s="24"/>
    </row>
    <row r="749" spans="11:17" x14ac:dyDescent="0.3">
      <c r="K749" s="85" t="s">
        <v>1510</v>
      </c>
      <c r="L749" s="23" t="s">
        <v>1522</v>
      </c>
      <c r="M749" s="23" t="s">
        <v>1505</v>
      </c>
      <c r="N749" s="23">
        <v>1999</v>
      </c>
      <c r="O749" s="23"/>
      <c r="P749" s="23">
        <v>1789</v>
      </c>
      <c r="Q749" s="24"/>
    </row>
    <row r="750" spans="11:17" x14ac:dyDescent="0.3">
      <c r="K750" s="85" t="s">
        <v>1510</v>
      </c>
      <c r="L750" s="23" t="s">
        <v>1522</v>
      </c>
      <c r="M750" s="23" t="s">
        <v>1506</v>
      </c>
      <c r="N750" s="23">
        <v>1999</v>
      </c>
      <c r="O750" s="23">
        <v>170</v>
      </c>
      <c r="P750" s="23">
        <v>267</v>
      </c>
      <c r="Q750" s="24"/>
    </row>
    <row r="751" spans="11:17" x14ac:dyDescent="0.3">
      <c r="K751" s="85" t="s">
        <v>1510</v>
      </c>
      <c r="L751" s="23" t="s">
        <v>1522</v>
      </c>
      <c r="M751" s="23" t="s">
        <v>1507</v>
      </c>
      <c r="N751" s="23">
        <v>1999</v>
      </c>
      <c r="O751" s="23">
        <v>177</v>
      </c>
      <c r="P751" s="23">
        <v>206</v>
      </c>
      <c r="Q751" s="24"/>
    </row>
    <row r="752" spans="11:17" x14ac:dyDescent="0.3">
      <c r="K752" s="85" t="s">
        <v>1510</v>
      </c>
      <c r="L752" s="23" t="s">
        <v>1522</v>
      </c>
      <c r="M752" s="23" t="s">
        <v>1508</v>
      </c>
      <c r="N752" s="23">
        <v>1999</v>
      </c>
      <c r="O752" s="23">
        <v>209</v>
      </c>
      <c r="P752" s="23">
        <v>260</v>
      </c>
      <c r="Q752" s="24"/>
    </row>
    <row r="753" spans="11:17" x14ac:dyDescent="0.3">
      <c r="K753" s="85" t="s">
        <v>1510</v>
      </c>
      <c r="L753" s="23" t="s">
        <v>1522</v>
      </c>
      <c r="M753" s="23" t="s">
        <v>1509</v>
      </c>
      <c r="N753" s="23">
        <v>1999</v>
      </c>
      <c r="O753" s="23">
        <v>138</v>
      </c>
      <c r="P753" s="23">
        <v>213</v>
      </c>
      <c r="Q753" s="24"/>
    </row>
    <row r="754" spans="11:17" x14ac:dyDescent="0.3">
      <c r="K754" s="85" t="s">
        <v>1500</v>
      </c>
      <c r="L754" s="23" t="s">
        <v>1522</v>
      </c>
      <c r="M754" s="23" t="s">
        <v>1501</v>
      </c>
      <c r="N754" s="23">
        <v>1998</v>
      </c>
      <c r="O754" s="23"/>
      <c r="P754" s="23">
        <v>3867</v>
      </c>
      <c r="Q754" s="24"/>
    </row>
    <row r="755" spans="11:17" x14ac:dyDescent="0.3">
      <c r="K755" s="85" t="s">
        <v>1500</v>
      </c>
      <c r="L755" s="23" t="s">
        <v>1522</v>
      </c>
      <c r="M755" s="23" t="s">
        <v>1502</v>
      </c>
      <c r="N755" s="23">
        <v>1998</v>
      </c>
      <c r="O755" s="23"/>
      <c r="P755" s="23">
        <v>3095</v>
      </c>
      <c r="Q755" s="24"/>
    </row>
    <row r="756" spans="11:17" x14ac:dyDescent="0.3">
      <c r="K756" s="85" t="s">
        <v>1500</v>
      </c>
      <c r="L756" s="23" t="s">
        <v>1522</v>
      </c>
      <c r="M756" s="23" t="s">
        <v>1503</v>
      </c>
      <c r="N756" s="23">
        <v>1998</v>
      </c>
      <c r="O756" s="23"/>
      <c r="P756" s="23">
        <v>888</v>
      </c>
      <c r="Q756" s="24"/>
    </row>
    <row r="757" spans="11:17" x14ac:dyDescent="0.3">
      <c r="K757" s="85" t="s">
        <v>1500</v>
      </c>
      <c r="L757" s="23" t="s">
        <v>1522</v>
      </c>
      <c r="M757" s="23" t="s">
        <v>1504</v>
      </c>
      <c r="N757" s="23">
        <v>1998</v>
      </c>
      <c r="O757" s="23"/>
      <c r="P757" s="23">
        <v>306</v>
      </c>
      <c r="Q757" s="24"/>
    </row>
    <row r="758" spans="11:17" x14ac:dyDescent="0.3">
      <c r="K758" s="85" t="s">
        <v>1500</v>
      </c>
      <c r="L758" s="23" t="s">
        <v>1522</v>
      </c>
      <c r="M758" s="23" t="s">
        <v>1505</v>
      </c>
      <c r="N758" s="23">
        <v>1998</v>
      </c>
      <c r="O758" s="23"/>
      <c r="P758" s="23">
        <v>1901</v>
      </c>
      <c r="Q758" s="24"/>
    </row>
    <row r="759" spans="11:17" x14ac:dyDescent="0.3">
      <c r="K759" s="85" t="s">
        <v>1500</v>
      </c>
      <c r="L759" s="23" t="s">
        <v>1522</v>
      </c>
      <c r="M759" s="23" t="s">
        <v>1506</v>
      </c>
      <c r="N759" s="23">
        <v>1998</v>
      </c>
      <c r="O759" s="23">
        <v>227</v>
      </c>
      <c r="P759" s="23">
        <v>172</v>
      </c>
      <c r="Q759" s="24"/>
    </row>
    <row r="760" spans="11:17" x14ac:dyDescent="0.3">
      <c r="K760" s="85" t="s">
        <v>1500</v>
      </c>
      <c r="L760" s="23" t="s">
        <v>1522</v>
      </c>
      <c r="M760" s="23" t="s">
        <v>1507</v>
      </c>
      <c r="N760" s="23">
        <v>1998</v>
      </c>
      <c r="O760" s="23">
        <v>234</v>
      </c>
      <c r="P760" s="23">
        <v>330</v>
      </c>
      <c r="Q760" s="24"/>
    </row>
    <row r="761" spans="11:17" x14ac:dyDescent="0.3">
      <c r="K761" s="85" t="s">
        <v>1500</v>
      </c>
      <c r="L761" s="23" t="s">
        <v>1522</v>
      </c>
      <c r="M761" s="23" t="s">
        <v>1508</v>
      </c>
      <c r="N761" s="23">
        <v>1998</v>
      </c>
      <c r="O761" s="23">
        <v>266</v>
      </c>
      <c r="P761" s="23">
        <v>247</v>
      </c>
      <c r="Q761" s="24"/>
    </row>
    <row r="762" spans="11:17" x14ac:dyDescent="0.3">
      <c r="K762" s="85" t="s">
        <v>1500</v>
      </c>
      <c r="L762" s="23" t="s">
        <v>1522</v>
      </c>
      <c r="M762" s="23" t="s">
        <v>1509</v>
      </c>
      <c r="N762" s="23">
        <v>1998</v>
      </c>
      <c r="O762" s="23">
        <v>195</v>
      </c>
      <c r="P762" s="23">
        <v>255</v>
      </c>
      <c r="Q762" s="24"/>
    </row>
    <row r="763" spans="11:17" x14ac:dyDescent="0.3">
      <c r="K763" s="85" t="s">
        <v>1510</v>
      </c>
      <c r="L763" s="23" t="s">
        <v>1522</v>
      </c>
      <c r="M763" s="23" t="s">
        <v>1501</v>
      </c>
      <c r="N763" s="23">
        <v>1998</v>
      </c>
      <c r="O763" s="23"/>
      <c r="P763" s="23">
        <v>7596</v>
      </c>
      <c r="Q763" s="24"/>
    </row>
    <row r="764" spans="11:17" x14ac:dyDescent="0.3">
      <c r="K764" s="85" t="s">
        <v>1510</v>
      </c>
      <c r="L764" s="23" t="s">
        <v>1522</v>
      </c>
      <c r="M764" s="23" t="s">
        <v>1502</v>
      </c>
      <c r="N764" s="23">
        <v>1998</v>
      </c>
      <c r="O764" s="23"/>
      <c r="P764" s="23">
        <v>2856</v>
      </c>
      <c r="Q764" s="24"/>
    </row>
    <row r="765" spans="11:17" x14ac:dyDescent="0.3">
      <c r="K765" s="85" t="s">
        <v>1510</v>
      </c>
      <c r="L765" s="23" t="s">
        <v>1522</v>
      </c>
      <c r="M765" s="23" t="s">
        <v>1503</v>
      </c>
      <c r="N765" s="23">
        <v>1998</v>
      </c>
      <c r="O765" s="23"/>
      <c r="P765" s="23">
        <v>1091</v>
      </c>
      <c r="Q765" s="24"/>
    </row>
    <row r="766" spans="11:17" x14ac:dyDescent="0.3">
      <c r="K766" s="85" t="s">
        <v>1510</v>
      </c>
      <c r="L766" s="23" t="s">
        <v>1522</v>
      </c>
      <c r="M766" s="23" t="s">
        <v>1504</v>
      </c>
      <c r="N766" s="23">
        <v>1998</v>
      </c>
      <c r="O766" s="23"/>
      <c r="P766" s="23">
        <v>617</v>
      </c>
      <c r="Q766" s="24"/>
    </row>
    <row r="767" spans="11:17" x14ac:dyDescent="0.3">
      <c r="K767" s="85" t="s">
        <v>1510</v>
      </c>
      <c r="L767" s="23" t="s">
        <v>1522</v>
      </c>
      <c r="M767" s="23" t="s">
        <v>1505</v>
      </c>
      <c r="N767" s="23">
        <v>1998</v>
      </c>
      <c r="O767" s="23"/>
      <c r="P767" s="23">
        <v>1148</v>
      </c>
      <c r="Q767" s="24"/>
    </row>
    <row r="768" spans="11:17" x14ac:dyDescent="0.3">
      <c r="K768" s="85" t="s">
        <v>1510</v>
      </c>
      <c r="L768" s="23" t="s">
        <v>1522</v>
      </c>
      <c r="M768" s="23" t="s">
        <v>1506</v>
      </c>
      <c r="N768" s="23">
        <v>1998</v>
      </c>
      <c r="O768" s="23">
        <v>228</v>
      </c>
      <c r="P768" s="23">
        <v>89</v>
      </c>
      <c r="Q768" s="24"/>
    </row>
    <row r="769" spans="11:17" x14ac:dyDescent="0.3">
      <c r="K769" s="85" t="s">
        <v>1510</v>
      </c>
      <c r="L769" s="23" t="s">
        <v>1522</v>
      </c>
      <c r="M769" s="23" t="s">
        <v>1507</v>
      </c>
      <c r="N769" s="23">
        <v>1998</v>
      </c>
      <c r="O769" s="23">
        <v>235</v>
      </c>
      <c r="P769" s="23">
        <v>120</v>
      </c>
      <c r="Q769" s="24"/>
    </row>
    <row r="770" spans="11:17" x14ac:dyDescent="0.3">
      <c r="K770" s="85" t="s">
        <v>1510</v>
      </c>
      <c r="L770" s="23" t="s">
        <v>1522</v>
      </c>
      <c r="M770" s="23" t="s">
        <v>1508</v>
      </c>
      <c r="N770" s="23">
        <v>1998</v>
      </c>
      <c r="O770" s="23">
        <v>267</v>
      </c>
      <c r="P770" s="23">
        <v>260</v>
      </c>
      <c r="Q770" s="24"/>
    </row>
    <row r="771" spans="11:17" x14ac:dyDescent="0.3">
      <c r="K771" s="85" t="s">
        <v>1510</v>
      </c>
      <c r="L771" s="23" t="s">
        <v>1522</v>
      </c>
      <c r="M771" s="23" t="s">
        <v>1509</v>
      </c>
      <c r="N771" s="23">
        <v>1998</v>
      </c>
      <c r="O771" s="23">
        <v>196</v>
      </c>
      <c r="P771" s="23">
        <v>-51</v>
      </c>
      <c r="Q771" s="24"/>
    </row>
    <row r="772" spans="11:17" ht="6.75" customHeight="1" thickBot="1" x14ac:dyDescent="0.35">
      <c r="K772" s="26"/>
      <c r="L772" s="27"/>
      <c r="M772" s="27"/>
      <c r="N772" s="27"/>
      <c r="O772" s="27"/>
      <c r="P772" s="27"/>
      <c r="Q772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105</vt:i4>
      </vt:variant>
    </vt:vector>
  </HeadingPairs>
  <TitlesOfParts>
    <vt:vector size="128" baseType="lpstr">
      <vt:lpstr>Guide</vt:lpstr>
      <vt:lpstr>dSlidesTable</vt:lpstr>
      <vt:lpstr>Params</vt:lpstr>
      <vt:lpstr>mUpperLowerProper</vt:lpstr>
      <vt:lpstr>mTrimLen</vt:lpstr>
      <vt:lpstr>mNamesSubstitute</vt:lpstr>
      <vt:lpstr>mLeftRightMidConcat</vt:lpstr>
      <vt:lpstr>mNames</vt:lpstr>
      <vt:lpstr>mNamesFunctions</vt:lpstr>
      <vt:lpstr>mExSplitText</vt:lpstr>
      <vt:lpstr>sLeavePivot</vt:lpstr>
      <vt:lpstr>dTranspose</vt:lpstr>
      <vt:lpstr>mSort</vt:lpstr>
      <vt:lpstr>mCustomSort</vt:lpstr>
      <vt:lpstr>mData</vt:lpstr>
      <vt:lpstr>mNameFormulas</vt:lpstr>
      <vt:lpstr>mFormatLongCodes</vt:lpstr>
      <vt:lpstr>dExSortFour</vt:lpstr>
      <vt:lpstr>dExSortMonth</vt:lpstr>
      <vt:lpstr>dExTextToNumber</vt:lpstr>
      <vt:lpstr>mLeaveData</vt:lpstr>
      <vt:lpstr>mDeleteCells</vt:lpstr>
      <vt:lpstr>mExFilter</vt:lpstr>
      <vt:lpstr>afbGuide</vt:lpstr>
      <vt:lpstr>afbParams</vt:lpstr>
      <vt:lpstr>dExSortFour!afbSheet</vt:lpstr>
      <vt:lpstr>dExSortMonth!afbSheet</vt:lpstr>
      <vt:lpstr>dExTextToNumber!afbSheet</vt:lpstr>
      <vt:lpstr>dSlidesTable!afbSheet</vt:lpstr>
      <vt:lpstr>dTranspose!afbSheet</vt:lpstr>
      <vt:lpstr>mCustomSort!afbSheet</vt:lpstr>
      <vt:lpstr>mData!afbSheet</vt:lpstr>
      <vt:lpstr>mDeleteCells!afbSheet</vt:lpstr>
      <vt:lpstr>mExFilter!afbSheet</vt:lpstr>
      <vt:lpstr>mExSplitText!afbSheet</vt:lpstr>
      <vt:lpstr>mFormatLongCodes!afbSheet</vt:lpstr>
      <vt:lpstr>mLeaveData!afbSheet</vt:lpstr>
      <vt:lpstr>mLeftRightMidConcat!afbSheet</vt:lpstr>
      <vt:lpstr>mNameFormulas!afbSheet</vt:lpstr>
      <vt:lpstr>mNames!afbSheet</vt:lpstr>
      <vt:lpstr>mNamesFunctions!afbSheet</vt:lpstr>
      <vt:lpstr>mNamesSubstitute!afbSheet</vt:lpstr>
      <vt:lpstr>mSort!afbSheet</vt:lpstr>
      <vt:lpstr>mTrimLen!afbSheet</vt:lpstr>
      <vt:lpstr>mUpperLowerProper!afbSheet</vt:lpstr>
      <vt:lpstr>sLeavePivot!afbSheet</vt:lpstr>
      <vt:lpstr>mCustomSort!csRawData</vt:lpstr>
      <vt:lpstr>mData!csRawData</vt:lpstr>
      <vt:lpstr>mFormatLongCodes!csRawData</vt:lpstr>
      <vt:lpstr>mSort!csRawData</vt:lpstr>
      <vt:lpstr>sLeavePivot!csRawData</vt:lpstr>
      <vt:lpstr>dtiSlides</vt:lpstr>
      <vt:lpstr>gAppDescription</vt:lpstr>
      <vt:lpstr>gCreator</vt:lpstr>
      <vt:lpstr>gPurpose</vt:lpstr>
      <vt:lpstr>gStartWorkbook</vt:lpstr>
      <vt:lpstr>kAppFilePrefix</vt:lpstr>
      <vt:lpstr>kAppName</vt:lpstr>
      <vt:lpstr>kCrosscheckMsg</vt:lpstr>
      <vt:lpstr>kCrosscheckTolerance</vt:lpstr>
      <vt:lpstr>kHideWebToolbar</vt:lpstr>
      <vt:lpstr>kNow</vt:lpstr>
      <vt:lpstr>kOrgName</vt:lpstr>
      <vt:lpstr>kVersion</vt:lpstr>
      <vt:lpstr>dExSortFour!Print_Area</vt:lpstr>
      <vt:lpstr>dExSortMonth!Print_Area</vt:lpstr>
      <vt:lpstr>dExTextToNumber!Print_Area</vt:lpstr>
      <vt:lpstr>dSlidesTable!Print_Area</vt:lpstr>
      <vt:lpstr>dTranspose!Print_Area</vt:lpstr>
      <vt:lpstr>mCustomSort!Print_Area</vt:lpstr>
      <vt:lpstr>mData!Print_Area</vt:lpstr>
      <vt:lpstr>mDeleteCells!Print_Area</vt:lpstr>
      <vt:lpstr>mExFilter!Print_Area</vt:lpstr>
      <vt:lpstr>mExSplitText!Print_Area</vt:lpstr>
      <vt:lpstr>mFormatLongCodes!Print_Area</vt:lpstr>
      <vt:lpstr>mLeaveData!Print_Area</vt:lpstr>
      <vt:lpstr>mLeftRightMidConcat!Print_Area</vt:lpstr>
      <vt:lpstr>mNameFormulas!Print_Area</vt:lpstr>
      <vt:lpstr>mNames!Print_Area</vt:lpstr>
      <vt:lpstr>mNamesFunctions!Print_Area</vt:lpstr>
      <vt:lpstr>mNamesSubstitute!Print_Area</vt:lpstr>
      <vt:lpstr>mSort!Print_Area</vt:lpstr>
      <vt:lpstr>mTrimLen!Print_Area</vt:lpstr>
      <vt:lpstr>mUpperLowerProper!Print_Area</vt:lpstr>
      <vt:lpstr>sLeavePivot!Print_Area</vt:lpstr>
      <vt:lpstr>dExSortFour!Print_Titles</vt:lpstr>
      <vt:lpstr>dExSortMonth!Print_Titles</vt:lpstr>
      <vt:lpstr>dExTextToNumber!Print_Titles</vt:lpstr>
      <vt:lpstr>dSlidesTable!Print_Titles</vt:lpstr>
      <vt:lpstr>dTranspose!Print_Titles</vt:lpstr>
      <vt:lpstr>Guide!Print_Titles</vt:lpstr>
      <vt:lpstr>mCustomSort!Print_Titles</vt:lpstr>
      <vt:lpstr>mData!Print_Titles</vt:lpstr>
      <vt:lpstr>mDeleteCells!Print_Titles</vt:lpstr>
      <vt:lpstr>mExFilter!Print_Titles</vt:lpstr>
      <vt:lpstr>mExSplitText!Print_Titles</vt:lpstr>
      <vt:lpstr>mFormatLongCodes!Print_Titles</vt:lpstr>
      <vt:lpstr>mLeftRightMidConcat!Print_Titles</vt:lpstr>
      <vt:lpstr>mNameFormulas!Print_Titles</vt:lpstr>
      <vt:lpstr>mNames!Print_Titles</vt:lpstr>
      <vt:lpstr>mNamesFunctions!Print_Titles</vt:lpstr>
      <vt:lpstr>mNamesSubstitute!Print_Titles</vt:lpstr>
      <vt:lpstr>mSort!Print_Titles</vt:lpstr>
      <vt:lpstr>mTrimLen!Print_Titles</vt:lpstr>
      <vt:lpstr>mUpperLowerProper!Print_Titles</vt:lpstr>
      <vt:lpstr>Params!Print_Titles</vt:lpstr>
      <vt:lpstr>sLeavePivot!Print_Titles</vt:lpstr>
      <vt:lpstr>dExSortFour!ttSheet</vt:lpstr>
      <vt:lpstr>dExSortMonth!ttSheet</vt:lpstr>
      <vt:lpstr>dExTextToNumber!ttSheet</vt:lpstr>
      <vt:lpstr>dSlidesTable!ttSheet</vt:lpstr>
      <vt:lpstr>dTranspose!ttSheet</vt:lpstr>
      <vt:lpstr>Guide!ttSheet</vt:lpstr>
      <vt:lpstr>mCustomSort!ttSheet</vt:lpstr>
      <vt:lpstr>mData!ttSheet</vt:lpstr>
      <vt:lpstr>mDeleteCells!ttSheet</vt:lpstr>
      <vt:lpstr>mExFilter!ttSheet</vt:lpstr>
      <vt:lpstr>mExSplitText!ttSheet</vt:lpstr>
      <vt:lpstr>mFormatLongCodes!ttSheet</vt:lpstr>
      <vt:lpstr>mLeftRightMidConcat!ttSheet</vt:lpstr>
      <vt:lpstr>mNameFormulas!ttSheet</vt:lpstr>
      <vt:lpstr>mNames!ttSheet</vt:lpstr>
      <vt:lpstr>mNamesFunctions!ttSheet</vt:lpstr>
      <vt:lpstr>mNamesSubstitute!ttSheet</vt:lpstr>
      <vt:lpstr>mSort!ttSheet</vt:lpstr>
      <vt:lpstr>mTrimLen!ttSheet</vt:lpstr>
      <vt:lpstr>mUpperLowerProper!ttSheet</vt:lpstr>
      <vt:lpstr>sLeavePivot!ttSheet</vt:lpstr>
    </vt:vector>
  </TitlesOfParts>
  <Company>Ableowl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Curwood</dc:creator>
  <cp:lastModifiedBy>Paul Oulton</cp:lastModifiedBy>
  <dcterms:created xsi:type="dcterms:W3CDTF">2012-10-11T03:36:33Z</dcterms:created>
  <dcterms:modified xsi:type="dcterms:W3CDTF">2024-10-13T06:14:45Z</dcterms:modified>
</cp:coreProperties>
</file>